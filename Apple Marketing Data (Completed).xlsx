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F3AB94B6-D5B9-434B-BD9B-87780CEBD1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sts" sheetId="1" r:id="rId1"/>
    <sheet name="Engagement Summary" sheetId="2" r:id="rId2"/>
    <sheet name="Campaign Metadata" sheetId="3" r:id="rId3"/>
    <sheet name="Posts (Hashtags Separated)" sheetId="9" r:id="rId4"/>
    <sheet name="Engagement Analysis (Task 2)" sheetId="8" r:id="rId5"/>
    <sheet name="Platform Analysis (Task 3)" sheetId="7" r:id="rId6"/>
    <sheet name="Hashtag &amp; Content Strategy (T4)" sheetId="10" r:id="rId7"/>
    <sheet name="Campaign Effectiveness (Task 5)" sheetId="11" r:id="rId8"/>
    <sheet name="Campaign Effectiveness Task 5.2" sheetId="13" r:id="rId9"/>
    <sheet name="Follower Retention (Task 6)" sheetId="12" r:id="rId10"/>
  </sheets>
  <definedNames>
    <definedName name="_xlnm._FilterDatabase" localSheetId="0" hidden="1">Posts!$A$1:$Z$301</definedName>
    <definedName name="_xlnm._FilterDatabase" localSheetId="3" hidden="1">'Posts (Hashtags Separated)'!$A$1:$AA$301</definedName>
    <definedName name="_xlnm._FilterDatabase" localSheetId="8" hidden="1">'Campaign Effectiveness Task 5.2'!$A$1:$Z$301</definedName>
  </definedNames>
  <calcPr calcId="191028" calcCompleted="0"/>
  <pivotCaches>
    <pivotCache cacheId="3836" r:id="rId11"/>
    <pivotCache cacheId="3837" r:id="rId12"/>
    <pivotCache cacheId="3838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6" i="13" l="1"/>
  <c r="N288" i="13"/>
  <c r="N278" i="13"/>
  <c r="N274" i="13"/>
  <c r="N271" i="13"/>
  <c r="N270" i="13"/>
  <c r="N259" i="13"/>
  <c r="N253" i="13"/>
  <c r="N251" i="13"/>
  <c r="N249" i="13"/>
  <c r="N245" i="13"/>
  <c r="N234" i="13"/>
  <c r="N221" i="13"/>
  <c r="N212" i="13"/>
  <c r="N201" i="13"/>
  <c r="N200" i="13"/>
  <c r="N195" i="13"/>
  <c r="N193" i="13"/>
  <c r="N188" i="13"/>
  <c r="N187" i="13"/>
  <c r="N182" i="13"/>
  <c r="N171" i="13"/>
  <c r="N166" i="13"/>
  <c r="N163" i="13"/>
  <c r="N159" i="13"/>
  <c r="N149" i="13"/>
  <c r="N148" i="13"/>
  <c r="N145" i="13"/>
  <c r="N143" i="13"/>
  <c r="N134" i="13"/>
  <c r="N125" i="13"/>
  <c r="N120" i="13"/>
  <c r="N117" i="13"/>
  <c r="N110" i="13"/>
  <c r="N105" i="13"/>
  <c r="N97" i="13"/>
  <c r="N94" i="13"/>
  <c r="N82" i="13"/>
  <c r="N81" i="13"/>
  <c r="N78" i="13"/>
  <c r="N77" i="13"/>
  <c r="N76" i="13"/>
  <c r="N72" i="13"/>
  <c r="N70" i="13"/>
  <c r="N63" i="13"/>
  <c r="N61" i="13"/>
  <c r="N60" i="13"/>
  <c r="N52" i="13"/>
  <c r="N43" i="13"/>
  <c r="N40" i="13"/>
  <c r="N39" i="13"/>
  <c r="N37" i="13"/>
  <c r="N36" i="13"/>
  <c r="N35" i="13"/>
  <c r="N31" i="13"/>
  <c r="N8" i="13"/>
  <c r="N4" i="13"/>
  <c r="N2" i="13"/>
  <c r="N297" i="13"/>
  <c r="N280" i="13"/>
  <c r="N275" i="13"/>
  <c r="N269" i="13"/>
  <c r="N266" i="13"/>
  <c r="N264" i="13"/>
  <c r="N263" i="13"/>
  <c r="N257" i="13"/>
  <c r="N256" i="13"/>
  <c r="N252" i="13"/>
  <c r="N239" i="13"/>
  <c r="N232" i="13"/>
  <c r="N229" i="13"/>
  <c r="N217" i="13"/>
  <c r="N210" i="13"/>
  <c r="N209" i="13"/>
  <c r="N194" i="13"/>
  <c r="N168" i="13"/>
  <c r="N167" i="13"/>
  <c r="N165" i="13"/>
  <c r="N150" i="13"/>
  <c r="N147" i="13"/>
  <c r="N135" i="13"/>
  <c r="N133" i="13"/>
  <c r="N130" i="13"/>
  <c r="N124" i="13"/>
  <c r="N121" i="13"/>
  <c r="N111" i="13"/>
  <c r="N107" i="13"/>
  <c r="N104" i="13"/>
  <c r="N103" i="13"/>
  <c r="N98" i="13"/>
  <c r="N96" i="13"/>
  <c r="N92" i="13"/>
  <c r="N75" i="13"/>
  <c r="N68" i="13"/>
  <c r="N67" i="13"/>
  <c r="N56" i="13"/>
  <c r="N48" i="13"/>
  <c r="N41" i="13"/>
  <c r="N33" i="13"/>
  <c r="N29" i="13"/>
  <c r="N24" i="13"/>
  <c r="N14" i="13"/>
  <c r="N10" i="13"/>
  <c r="N3" i="13"/>
  <c r="N300" i="13"/>
  <c r="N291" i="13"/>
  <c r="N286" i="13"/>
  <c r="N284" i="13"/>
  <c r="N279" i="13"/>
  <c r="N267" i="13"/>
  <c r="N262" i="13"/>
  <c r="N260" i="13"/>
  <c r="N244" i="13"/>
  <c r="N241" i="13"/>
  <c r="N238" i="13"/>
  <c r="N231" i="13"/>
  <c r="N230" i="13"/>
  <c r="N223" i="13"/>
  <c r="N220" i="13"/>
  <c r="N218" i="13"/>
  <c r="N208" i="13"/>
  <c r="N206" i="13"/>
  <c r="N204" i="13"/>
  <c r="N203" i="13"/>
  <c r="N202" i="13"/>
  <c r="N198" i="13"/>
  <c r="N196" i="13"/>
  <c r="N190" i="13"/>
  <c r="N183" i="13"/>
  <c r="N178" i="13"/>
  <c r="N176" i="13"/>
  <c r="N175" i="13"/>
  <c r="N172" i="13"/>
  <c r="N160" i="13"/>
  <c r="N157" i="13"/>
  <c r="N156" i="13"/>
  <c r="N152" i="13"/>
  <c r="N141" i="13"/>
  <c r="N138" i="13"/>
  <c r="N128" i="13"/>
  <c r="N123" i="13"/>
  <c r="N119" i="13"/>
  <c r="N109" i="13"/>
  <c r="N108" i="13"/>
  <c r="N106" i="13"/>
  <c r="N89" i="13"/>
  <c r="N88" i="13"/>
  <c r="N80" i="13"/>
  <c r="N79" i="13"/>
  <c r="N71" i="13"/>
  <c r="N65" i="13"/>
  <c r="N62" i="13"/>
  <c r="N58" i="13"/>
  <c r="N54" i="13"/>
  <c r="N51" i="13"/>
  <c r="N49" i="13"/>
  <c r="N45" i="13"/>
  <c r="N44" i="13"/>
  <c r="N38" i="13"/>
  <c r="N21" i="13"/>
  <c r="N13" i="13"/>
  <c r="N7" i="13"/>
  <c r="N5" i="13"/>
  <c r="N294" i="13"/>
  <c r="N293" i="13"/>
  <c r="N283" i="13"/>
  <c r="N282" i="13"/>
  <c r="N281" i="13"/>
  <c r="N277" i="13"/>
  <c r="N276" i="13"/>
  <c r="N272" i="13"/>
  <c r="N268" i="13"/>
  <c r="N261" i="13"/>
  <c r="N254" i="13"/>
  <c r="N248" i="13"/>
  <c r="N242" i="13"/>
  <c r="N237" i="13"/>
  <c r="N236" i="13"/>
  <c r="N233" i="13"/>
  <c r="N228" i="13"/>
  <c r="N225" i="13"/>
  <c r="N224" i="13"/>
  <c r="N222" i="13"/>
  <c r="N219" i="13"/>
  <c r="N216" i="13"/>
  <c r="N214" i="13"/>
  <c r="N207" i="13"/>
  <c r="N199" i="13"/>
  <c r="N191" i="13"/>
  <c r="N185" i="13"/>
  <c r="N180" i="13"/>
  <c r="N177" i="13"/>
  <c r="N164" i="13"/>
  <c r="N162" i="13"/>
  <c r="N161" i="13"/>
  <c r="N158" i="13"/>
  <c r="N155" i="13"/>
  <c r="N153" i="13"/>
  <c r="N151" i="13"/>
  <c r="N146" i="13"/>
  <c r="N144" i="13"/>
  <c r="N142" i="13"/>
  <c r="N132" i="13"/>
  <c r="N127" i="13"/>
  <c r="N126" i="13"/>
  <c r="N122" i="13"/>
  <c r="N118" i="13"/>
  <c r="N116" i="13"/>
  <c r="N115" i="13"/>
  <c r="N112" i="13"/>
  <c r="N101" i="13"/>
  <c r="N99" i="13"/>
  <c r="N93" i="13"/>
  <c r="N91" i="13"/>
  <c r="N90" i="13"/>
  <c r="N87" i="13"/>
  <c r="N86" i="13"/>
  <c r="N66" i="13"/>
  <c r="N59" i="13"/>
  <c r="N57" i="13"/>
  <c r="N53" i="13"/>
  <c r="N34" i="13"/>
  <c r="N32" i="13"/>
  <c r="N25" i="13"/>
  <c r="N23" i="13"/>
  <c r="N22" i="13"/>
  <c r="N20" i="13"/>
  <c r="N19" i="13"/>
  <c r="N17" i="13"/>
  <c r="N16" i="13"/>
  <c r="N15" i="13"/>
  <c r="N6" i="13"/>
  <c r="N301" i="13"/>
  <c r="N299" i="13"/>
  <c r="N298" i="13"/>
  <c r="N295" i="13"/>
  <c r="N292" i="13"/>
  <c r="N290" i="13"/>
  <c r="N289" i="13"/>
  <c r="N287" i="13"/>
  <c r="N285" i="13"/>
  <c r="N273" i="13"/>
  <c r="N265" i="13"/>
  <c r="N258" i="13"/>
  <c r="N255" i="13"/>
  <c r="N250" i="13"/>
  <c r="N247" i="13"/>
  <c r="N246" i="13"/>
  <c r="N243" i="13"/>
  <c r="N240" i="13"/>
  <c r="N235" i="13"/>
  <c r="N227" i="13"/>
  <c r="N226" i="13"/>
  <c r="N215" i="13"/>
  <c r="N213" i="13"/>
  <c r="N211" i="13"/>
  <c r="N205" i="13"/>
  <c r="N197" i="13"/>
  <c r="N192" i="13"/>
  <c r="N189" i="13"/>
  <c r="N186" i="13"/>
  <c r="N184" i="13"/>
  <c r="N181" i="13"/>
  <c r="N179" i="13"/>
  <c r="N174" i="13"/>
  <c r="N173" i="13"/>
  <c r="N170" i="13"/>
  <c r="N169" i="13"/>
  <c r="N154" i="13"/>
  <c r="N140" i="13"/>
  <c r="N139" i="13"/>
  <c r="N137" i="13"/>
  <c r="N136" i="13"/>
  <c r="N131" i="13"/>
  <c r="N129" i="13"/>
  <c r="N114" i="13"/>
  <c r="N113" i="13"/>
  <c r="N102" i="13"/>
  <c r="N100" i="13"/>
  <c r="N95" i="13"/>
  <c r="N85" i="13"/>
  <c r="N84" i="13"/>
  <c r="N83" i="13"/>
  <c r="N74" i="13"/>
  <c r="N73" i="13"/>
  <c r="N69" i="13"/>
  <c r="N64" i="13"/>
  <c r="N55" i="13"/>
  <c r="N50" i="13"/>
  <c r="N47" i="13"/>
  <c r="N46" i="13"/>
  <c r="N42" i="13"/>
  <c r="N30" i="13"/>
  <c r="N28" i="13"/>
  <c r="N27" i="13"/>
  <c r="N26" i="13"/>
  <c r="N18" i="13"/>
  <c r="N12" i="13"/>
  <c r="N11" i="13"/>
  <c r="N9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N2" i="9"/>
  <c r="M229" i="1"/>
  <c r="N300" i="9"/>
  <c r="N299" i="9"/>
  <c r="N297" i="9"/>
  <c r="N295" i="9"/>
  <c r="N293" i="9"/>
  <c r="N290" i="9"/>
  <c r="N289" i="9"/>
  <c r="N287" i="9"/>
  <c r="N281" i="9"/>
  <c r="N280" i="9"/>
  <c r="N279" i="9"/>
  <c r="N278" i="9"/>
  <c r="N269" i="9"/>
  <c r="N263" i="9"/>
  <c r="N259" i="9"/>
  <c r="N256" i="9"/>
  <c r="N255" i="9"/>
  <c r="N254" i="9"/>
  <c r="N245" i="9"/>
  <c r="N236" i="9"/>
  <c r="N235" i="9"/>
  <c r="N234" i="9"/>
  <c r="N233" i="9"/>
  <c r="N231" i="9"/>
  <c r="N227" i="9"/>
  <c r="N224" i="9"/>
  <c r="N214" i="9"/>
  <c r="N213" i="9"/>
  <c r="N212" i="9"/>
  <c r="N211" i="9"/>
  <c r="N204" i="9"/>
  <c r="N202" i="9"/>
  <c r="N201" i="9"/>
  <c r="N198" i="9"/>
  <c r="N196" i="9"/>
  <c r="N195" i="9"/>
  <c r="N194" i="9"/>
  <c r="N191" i="9"/>
  <c r="N189" i="9"/>
  <c r="N185" i="9"/>
  <c r="N179" i="9"/>
  <c r="N172" i="9"/>
  <c r="N146" i="9"/>
  <c r="N145" i="9"/>
  <c r="N134" i="9"/>
  <c r="N133" i="9"/>
  <c r="N127" i="9"/>
  <c r="N123" i="9"/>
  <c r="N119" i="9"/>
  <c r="N110" i="9"/>
  <c r="N103" i="9"/>
  <c r="N102" i="9"/>
  <c r="N100" i="9"/>
  <c r="N98" i="9"/>
  <c r="N94" i="9"/>
  <c r="N92" i="9"/>
  <c r="N90" i="9"/>
  <c r="N87" i="9"/>
  <c r="N86" i="9"/>
  <c r="N81" i="9"/>
  <c r="N75" i="9"/>
  <c r="N72" i="9"/>
  <c r="N70" i="9"/>
  <c r="N68" i="9"/>
  <c r="N58" i="9"/>
  <c r="N57" i="9"/>
  <c r="N55" i="9"/>
  <c r="N46" i="9"/>
  <c r="N44" i="9"/>
  <c r="N35" i="9"/>
  <c r="N34" i="9"/>
  <c r="N30" i="9"/>
  <c r="N25" i="9"/>
  <c r="N22" i="9"/>
  <c r="N17" i="9"/>
  <c r="N6" i="9"/>
  <c r="N3" i="9"/>
  <c r="N286" i="9"/>
  <c r="N284" i="9"/>
  <c r="N273" i="9"/>
  <c r="N270" i="9"/>
  <c r="N268" i="9"/>
  <c r="N252" i="9"/>
  <c r="N251" i="9"/>
  <c r="N246" i="9"/>
  <c r="N244" i="9"/>
  <c r="N243" i="9"/>
  <c r="N242" i="9"/>
  <c r="N241" i="9"/>
  <c r="N232" i="9"/>
  <c r="N230" i="9"/>
  <c r="N223" i="9"/>
  <c r="N221" i="9"/>
  <c r="N207" i="9"/>
  <c r="N197" i="9"/>
  <c r="N187" i="9"/>
  <c r="N177" i="9"/>
  <c r="N174" i="9"/>
  <c r="N169" i="9"/>
  <c r="N167" i="9"/>
  <c r="N166" i="9"/>
  <c r="N165" i="9"/>
  <c r="N162" i="9"/>
  <c r="N160" i="9"/>
  <c r="N159" i="9"/>
  <c r="N158" i="9"/>
  <c r="N157" i="9"/>
  <c r="N153" i="9"/>
  <c r="N143" i="9"/>
  <c r="N141" i="9"/>
  <c r="N140" i="9"/>
  <c r="N137" i="9"/>
  <c r="N130" i="9"/>
  <c r="N128" i="9"/>
  <c r="N124" i="9"/>
  <c r="N120" i="9"/>
  <c r="N116" i="9"/>
  <c r="N114" i="9"/>
  <c r="N113" i="9"/>
  <c r="N111" i="9"/>
  <c r="N106" i="9"/>
  <c r="N97" i="9"/>
  <c r="N93" i="9"/>
  <c r="N73" i="9"/>
  <c r="N69" i="9"/>
  <c r="N65" i="9"/>
  <c r="N59" i="9"/>
  <c r="N53" i="9"/>
  <c r="N47" i="9"/>
  <c r="N45" i="9"/>
  <c r="N43" i="9"/>
  <c r="N42" i="9"/>
  <c r="N41" i="9"/>
  <c r="N40" i="9"/>
  <c r="N38" i="9"/>
  <c r="N36" i="9"/>
  <c r="N28" i="9"/>
  <c r="N26" i="9"/>
  <c r="N20" i="9"/>
  <c r="N15" i="9"/>
  <c r="N12" i="9"/>
  <c r="N10" i="9"/>
  <c r="N9" i="9"/>
  <c r="N7" i="9"/>
  <c r="N5" i="9"/>
  <c r="N301" i="9"/>
  <c r="N298" i="9"/>
  <c r="N296" i="9"/>
  <c r="N291" i="9"/>
  <c r="N285" i="9"/>
  <c r="N283" i="9"/>
  <c r="N276" i="9"/>
  <c r="N275" i="9"/>
  <c r="N267" i="9"/>
  <c r="N264" i="9"/>
  <c r="N262" i="9"/>
  <c r="N261" i="9"/>
  <c r="N253" i="9"/>
  <c r="N250" i="9"/>
  <c r="N247" i="9"/>
  <c r="N237" i="9"/>
  <c r="N225" i="9"/>
  <c r="N222" i="9"/>
  <c r="N218" i="9"/>
  <c r="N217" i="9"/>
  <c r="N210" i="9"/>
  <c r="N208" i="9"/>
  <c r="N205" i="9"/>
  <c r="N203" i="9"/>
  <c r="N200" i="9"/>
  <c r="N193" i="9"/>
  <c r="N188" i="9"/>
  <c r="N181" i="9"/>
  <c r="N180" i="9"/>
  <c r="N176" i="9"/>
  <c r="N173" i="9"/>
  <c r="N171" i="9"/>
  <c r="N168" i="9"/>
  <c r="N163" i="9"/>
  <c r="N161" i="9"/>
  <c r="N152" i="9"/>
  <c r="N151" i="9"/>
  <c r="N150" i="9"/>
  <c r="N149" i="9"/>
  <c r="N148" i="9"/>
  <c r="N147" i="9"/>
  <c r="N144" i="9"/>
  <c r="N139" i="9"/>
  <c r="N136" i="9"/>
  <c r="N135" i="9"/>
  <c r="N131" i="9"/>
  <c r="N129" i="9"/>
  <c r="N122" i="9"/>
  <c r="N121" i="9"/>
  <c r="N115" i="9"/>
  <c r="N112" i="9"/>
  <c r="N109" i="9"/>
  <c r="N107" i="9"/>
  <c r="N105" i="9"/>
  <c r="N104" i="9"/>
  <c r="N99" i="9"/>
  <c r="N85" i="9"/>
  <c r="N84" i="9"/>
  <c r="N83" i="9"/>
  <c r="N80" i="9"/>
  <c r="N78" i="9"/>
  <c r="N76" i="9"/>
  <c r="N66" i="9"/>
  <c r="N64" i="9"/>
  <c r="N63" i="9"/>
  <c r="N62" i="9"/>
  <c r="N61" i="9"/>
  <c r="N54" i="9"/>
  <c r="N52" i="9"/>
  <c r="N51" i="9"/>
  <c r="N49" i="9"/>
  <c r="N48" i="9"/>
  <c r="N39" i="9"/>
  <c r="N37" i="9"/>
  <c r="N31" i="9"/>
  <c r="N24" i="9"/>
  <c r="N23" i="9"/>
  <c r="N16" i="9"/>
  <c r="N13" i="9"/>
  <c r="N4" i="9"/>
  <c r="N294" i="9"/>
  <c r="N292" i="9"/>
  <c r="N288" i="9"/>
  <c r="N282" i="9"/>
  <c r="N277" i="9"/>
  <c r="N274" i="9"/>
  <c r="N272" i="9"/>
  <c r="N271" i="9"/>
  <c r="N266" i="9"/>
  <c r="N265" i="9"/>
  <c r="N260" i="9"/>
  <c r="N258" i="9"/>
  <c r="N257" i="9"/>
  <c r="N249" i="9"/>
  <c r="N248" i="9"/>
  <c r="N240" i="9"/>
  <c r="N239" i="9"/>
  <c r="N238" i="9"/>
  <c r="N229" i="9"/>
  <c r="N228" i="9"/>
  <c r="N226" i="9"/>
  <c r="N220" i="9"/>
  <c r="N219" i="9"/>
  <c r="N216" i="9"/>
  <c r="N215" i="9"/>
  <c r="N209" i="9"/>
  <c r="N206" i="9"/>
  <c r="N199" i="9"/>
  <c r="N192" i="9"/>
  <c r="N190" i="9"/>
  <c r="N186" i="9"/>
  <c r="N184" i="9"/>
  <c r="N183" i="9"/>
  <c r="N182" i="9"/>
  <c r="N178" i="9"/>
  <c r="N175" i="9"/>
  <c r="N170" i="9"/>
  <c r="N164" i="9"/>
  <c r="N156" i="9"/>
  <c r="N155" i="9"/>
  <c r="N154" i="9"/>
  <c r="N142" i="9"/>
  <c r="N138" i="9"/>
  <c r="N132" i="9"/>
  <c r="N126" i="9"/>
  <c r="N125" i="9"/>
  <c r="N118" i="9"/>
  <c r="N117" i="9"/>
  <c r="N108" i="9"/>
  <c r="N101" i="9"/>
  <c r="N96" i="9"/>
  <c r="N95" i="9"/>
  <c r="N91" i="9"/>
  <c r="N89" i="9"/>
  <c r="N88" i="9"/>
  <c r="N82" i="9"/>
  <c r="N79" i="9"/>
  <c r="N77" i="9"/>
  <c r="N74" i="9"/>
  <c r="N71" i="9"/>
  <c r="N67" i="9"/>
  <c r="N60" i="9"/>
  <c r="N56" i="9"/>
  <c r="N50" i="9"/>
  <c r="N33" i="9"/>
  <c r="N32" i="9"/>
  <c r="N29" i="9"/>
  <c r="N27" i="9"/>
  <c r="N21" i="9"/>
  <c r="N19" i="9"/>
  <c r="N18" i="9"/>
  <c r="N14" i="9"/>
  <c r="N11" i="9"/>
  <c r="N8" i="9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M208" i="1"/>
  <c r="M119" i="1"/>
  <c r="M38" i="1"/>
  <c r="M45" i="1"/>
  <c r="M46" i="1"/>
  <c r="M64" i="1"/>
  <c r="M195" i="1"/>
  <c r="M31" i="1"/>
  <c r="M214" i="1"/>
  <c r="M37" i="1"/>
  <c r="M212" i="1"/>
  <c r="M186" i="1"/>
  <c r="M125" i="1"/>
  <c r="M253" i="1"/>
  <c r="M236" i="1"/>
  <c r="M232" i="1"/>
  <c r="M284" i="1"/>
  <c r="M215" i="1"/>
  <c r="M207" i="1"/>
  <c r="M117" i="1"/>
  <c r="M55" i="1"/>
  <c r="M148" i="1"/>
  <c r="M243" i="1"/>
  <c r="M178" i="1"/>
  <c r="M63" i="1"/>
  <c r="M32" i="1"/>
  <c r="M282" i="1"/>
  <c r="M128" i="1"/>
  <c r="M202" i="1"/>
  <c r="M285" i="1"/>
  <c r="M29" i="1"/>
  <c r="M74" i="1"/>
  <c r="M165" i="1"/>
  <c r="M221" i="1"/>
  <c r="M177" i="1"/>
  <c r="M84" i="1"/>
  <c r="M149" i="1"/>
  <c r="M113" i="1"/>
  <c r="M133" i="1"/>
  <c r="M15" i="1"/>
  <c r="M292" i="1"/>
  <c r="M270" i="1"/>
  <c r="M9" i="1"/>
  <c r="M161" i="1"/>
  <c r="M185" i="1"/>
  <c r="M26" i="1"/>
  <c r="M75" i="1"/>
  <c r="M121" i="1"/>
  <c r="M274" i="1"/>
  <c r="M77" i="1"/>
  <c r="M111" i="1"/>
  <c r="M94" i="1"/>
  <c r="M247" i="1"/>
  <c r="M276" i="1"/>
  <c r="M11" i="1"/>
  <c r="M224" i="1"/>
  <c r="M147" i="1"/>
  <c r="M97" i="1"/>
  <c r="M289" i="1"/>
  <c r="M120" i="1"/>
  <c r="M43" i="1"/>
  <c r="M139" i="1"/>
  <c r="M226" i="1"/>
  <c r="M21" i="1"/>
  <c r="M104" i="1"/>
  <c r="M83" i="1"/>
  <c r="M295" i="1"/>
  <c r="M65" i="1"/>
  <c r="M271" i="1"/>
  <c r="M88" i="1"/>
  <c r="M54" i="1"/>
  <c r="M87" i="1"/>
  <c r="M132" i="1"/>
  <c r="M272" i="1"/>
  <c r="M66" i="1"/>
  <c r="M98" i="1"/>
  <c r="M95" i="1"/>
  <c r="M172" i="1"/>
  <c r="M198" i="1"/>
  <c r="M122" i="1"/>
  <c r="M127" i="1"/>
  <c r="M50" i="1"/>
  <c r="M164" i="1"/>
  <c r="M85" i="1"/>
  <c r="M241" i="1"/>
  <c r="M86" i="1"/>
  <c r="M264" i="1"/>
  <c r="M249" i="1"/>
  <c r="M78" i="1"/>
  <c r="M135" i="1"/>
  <c r="M130" i="1"/>
  <c r="M218" i="1"/>
  <c r="M56" i="1"/>
  <c r="M227" i="1"/>
  <c r="M5" i="1"/>
  <c r="M280" i="1"/>
  <c r="M301" i="1"/>
  <c r="M204" i="1"/>
  <c r="M93" i="1"/>
  <c r="M242" i="1"/>
  <c r="M174" i="1"/>
  <c r="M181" i="1"/>
  <c r="M223" i="1"/>
  <c r="M225" i="1"/>
  <c r="M81" i="1"/>
  <c r="M53" i="1"/>
  <c r="M103" i="1"/>
  <c r="M266" i="1"/>
  <c r="M299" i="1"/>
  <c r="M252" i="1"/>
  <c r="M251" i="1"/>
  <c r="M39" i="1"/>
  <c r="M196" i="1"/>
  <c r="M20" i="1"/>
  <c r="M182" i="1"/>
  <c r="M194" i="1"/>
  <c r="M36" i="1"/>
  <c r="M279" i="1"/>
  <c r="M239" i="1"/>
  <c r="M255" i="1"/>
  <c r="M287" i="1"/>
  <c r="M2" i="1"/>
  <c r="M41" i="1"/>
  <c r="M290" i="1"/>
  <c r="M115" i="1"/>
  <c r="M155" i="1"/>
  <c r="M237" i="1"/>
  <c r="M199" i="1"/>
  <c r="M28" i="1"/>
  <c r="M140" i="1"/>
  <c r="M191" i="1"/>
  <c r="M42" i="1"/>
  <c r="M219" i="1"/>
  <c r="M220" i="1"/>
  <c r="M100" i="1"/>
  <c r="M188" i="1"/>
  <c r="M168" i="1"/>
  <c r="M7" i="1"/>
  <c r="M153" i="1"/>
  <c r="M152" i="1"/>
  <c r="M142" i="1"/>
  <c r="M123" i="1"/>
  <c r="M110" i="1"/>
  <c r="M159" i="1"/>
  <c r="M156" i="1"/>
  <c r="M12" i="1"/>
  <c r="M27" i="1"/>
  <c r="M240" i="1"/>
  <c r="M18" i="1"/>
  <c r="M167" i="1"/>
  <c r="M151" i="1"/>
  <c r="M154" i="1"/>
  <c r="M254" i="1"/>
  <c r="M145" i="1"/>
  <c r="M277" i="1"/>
  <c r="M244" i="1"/>
  <c r="M137" i="1"/>
  <c r="M179" i="1"/>
  <c r="M62" i="1"/>
  <c r="M126" i="1"/>
  <c r="M138" i="1"/>
  <c r="M19" i="1"/>
  <c r="M59" i="1"/>
  <c r="M230" i="1"/>
  <c r="M162" i="1"/>
  <c r="M190" i="1"/>
  <c r="M30" i="1"/>
  <c r="M175" i="1"/>
  <c r="M210" i="1"/>
  <c r="M260" i="1"/>
  <c r="M275" i="1"/>
  <c r="M60" i="1"/>
  <c r="M33" i="1"/>
  <c r="M256" i="1"/>
  <c r="M51" i="1"/>
  <c r="M183" i="1"/>
  <c r="M61" i="1"/>
  <c r="M250" i="1"/>
  <c r="M80" i="1"/>
  <c r="M57" i="1"/>
  <c r="M144" i="1"/>
  <c r="M267" i="1"/>
  <c r="M291" i="1"/>
  <c r="M187" i="1"/>
  <c r="M192" i="1"/>
  <c r="M141" i="1"/>
  <c r="M143" i="1"/>
  <c r="M296" i="1"/>
  <c r="M298" i="1"/>
  <c r="M71" i="1"/>
  <c r="M238" i="1"/>
  <c r="M146" i="1"/>
  <c r="M265" i="1"/>
  <c r="M116" i="1"/>
  <c r="M163" i="1"/>
  <c r="M263" i="1"/>
  <c r="M262" i="1"/>
  <c r="M283" i="1"/>
  <c r="M52" i="1"/>
  <c r="M96" i="1"/>
  <c r="M288" i="1"/>
  <c r="M173" i="1"/>
  <c r="M294" i="1"/>
  <c r="M189" i="1"/>
  <c r="M293" i="1"/>
  <c r="M150" i="1"/>
  <c r="M136" i="1"/>
  <c r="M82" i="1"/>
  <c r="M258" i="1"/>
  <c r="M261" i="1"/>
  <c r="M166" i="1"/>
  <c r="M160" i="1"/>
  <c r="M134" i="1"/>
  <c r="M197" i="1"/>
  <c r="M106" i="1"/>
  <c r="M17" i="1"/>
  <c r="M35" i="1"/>
  <c r="M234" i="1"/>
  <c r="M206" i="1"/>
  <c r="M73" i="1"/>
  <c r="M129" i="1"/>
  <c r="M205" i="1"/>
  <c r="M3" i="1"/>
  <c r="M281" i="1"/>
  <c r="M47" i="1"/>
  <c r="M105" i="1"/>
  <c r="M49" i="1"/>
  <c r="M297" i="1"/>
  <c r="M22" i="1"/>
  <c r="M58" i="1"/>
  <c r="M228" i="1"/>
  <c r="M6" i="1"/>
  <c r="M259" i="1"/>
  <c r="M67" i="1"/>
  <c r="M273" i="1"/>
  <c r="M203" i="1"/>
  <c r="M124" i="1"/>
  <c r="M109" i="1"/>
  <c r="M269" i="1"/>
  <c r="M233" i="1"/>
  <c r="M40" i="1"/>
  <c r="M23" i="1"/>
  <c r="M68" i="1"/>
  <c r="M72" i="1"/>
  <c r="M131" i="1"/>
  <c r="M107" i="1"/>
  <c r="M14" i="1"/>
  <c r="M102" i="1"/>
  <c r="M90" i="1"/>
  <c r="M108" i="1"/>
  <c r="M200" i="1"/>
  <c r="M245" i="1"/>
  <c r="M170" i="1"/>
  <c r="M211" i="1"/>
  <c r="M246" i="1"/>
  <c r="M286" i="1"/>
  <c r="M248" i="1"/>
  <c r="M76" i="1"/>
  <c r="M193" i="1"/>
  <c r="M180" i="1"/>
  <c r="M213" i="1"/>
  <c r="M69" i="1"/>
  <c r="M10" i="1"/>
  <c r="M92" i="1"/>
  <c r="M16" i="1"/>
  <c r="M158" i="1"/>
  <c r="M24" i="1"/>
  <c r="M216" i="1"/>
  <c r="M4" i="1"/>
  <c r="M231" i="1"/>
  <c r="M112" i="1"/>
  <c r="M91" i="1"/>
  <c r="M201" i="1"/>
  <c r="M176" i="1"/>
  <c r="M44" i="1"/>
  <c r="M300" i="1"/>
  <c r="M217" i="1"/>
  <c r="M101" i="1"/>
  <c r="M114" i="1"/>
  <c r="M157" i="1"/>
  <c r="M118" i="1"/>
  <c r="M278" i="1"/>
  <c r="M235" i="1"/>
  <c r="M79" i="1"/>
  <c r="M99" i="1"/>
  <c r="M222" i="1"/>
  <c r="M8" i="1"/>
  <c r="M184" i="1"/>
  <c r="M25" i="1"/>
  <c r="M89" i="1"/>
  <c r="M257" i="1"/>
  <c r="M209" i="1"/>
  <c r="M48" i="1"/>
  <c r="M70" i="1"/>
  <c r="M169" i="1"/>
  <c r="M268" i="1"/>
  <c r="M13" i="1"/>
  <c r="M34" i="1"/>
  <c r="M171" i="1"/>
  <c r="P3" i="13" l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2" i="13"/>
  <c r="O2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Q301" i="13"/>
  <c r="Q300" i="13"/>
  <c r="Q299" i="13"/>
  <c r="Q298" i="13"/>
  <c r="Q297" i="13"/>
  <c r="Q296" i="13"/>
  <c r="Q295" i="13"/>
  <c r="Q294" i="13"/>
  <c r="Q293" i="13"/>
  <c r="Q292" i="13"/>
  <c r="Q291" i="13"/>
  <c r="Q290" i="13"/>
  <c r="Q289" i="13"/>
  <c r="Q288" i="13"/>
  <c r="Q287" i="13"/>
  <c r="Q286" i="13"/>
  <c r="Q285" i="13"/>
  <c r="Q284" i="13"/>
  <c r="Q283" i="13"/>
  <c r="Q282" i="13"/>
  <c r="Q281" i="13"/>
  <c r="Q280" i="13"/>
  <c r="Q279" i="13"/>
  <c r="Q278" i="13"/>
  <c r="Q277" i="13"/>
  <c r="Q276" i="13"/>
  <c r="Q275" i="13"/>
  <c r="Q274" i="13"/>
  <c r="Q273" i="13"/>
  <c r="Q272" i="13"/>
  <c r="Q271" i="13"/>
  <c r="Q270" i="13"/>
  <c r="Q269" i="13"/>
  <c r="Q268" i="13"/>
  <c r="Q267" i="13"/>
  <c r="Q266" i="13"/>
  <c r="Q265" i="13"/>
  <c r="Q264" i="13"/>
  <c r="Q263" i="13"/>
  <c r="Q262" i="13"/>
  <c r="Q261" i="13"/>
  <c r="Q260" i="13"/>
  <c r="Q259" i="13"/>
  <c r="Q258" i="13"/>
  <c r="Q257" i="13"/>
  <c r="Q256" i="13"/>
  <c r="Q255" i="13"/>
  <c r="Q254" i="13"/>
  <c r="Q253" i="13"/>
  <c r="Q252" i="13"/>
  <c r="Q251" i="13"/>
  <c r="Q250" i="13"/>
  <c r="Q249" i="13"/>
  <c r="Q248" i="13"/>
  <c r="Q247" i="13"/>
  <c r="Q246" i="13"/>
  <c r="Q245" i="13"/>
  <c r="Q244" i="13"/>
  <c r="Q243" i="13"/>
  <c r="Q242" i="13"/>
  <c r="Q241" i="13"/>
  <c r="Q240" i="13"/>
  <c r="Q239" i="13"/>
  <c r="Q238" i="13"/>
  <c r="Q237" i="13"/>
  <c r="Q236" i="13"/>
  <c r="Q235" i="13"/>
  <c r="Q234" i="13"/>
  <c r="Q233" i="13"/>
  <c r="Q232" i="13"/>
  <c r="Q231" i="13"/>
  <c r="Q230" i="13"/>
  <c r="Q229" i="13"/>
  <c r="Q228" i="13"/>
  <c r="Q227" i="13"/>
  <c r="Q226" i="13"/>
  <c r="Q225" i="13"/>
  <c r="Q224" i="13"/>
  <c r="Q223" i="13"/>
  <c r="Q222" i="13"/>
  <c r="Q221" i="13"/>
  <c r="Q220" i="13"/>
  <c r="Q219" i="13"/>
  <c r="Q218" i="13"/>
  <c r="Q217" i="13"/>
  <c r="Q216" i="13"/>
  <c r="Q215" i="13"/>
  <c r="Q214" i="13"/>
  <c r="Q213" i="13"/>
  <c r="Q212" i="13"/>
  <c r="Q211" i="13"/>
  <c r="Q210" i="13"/>
  <c r="Q209" i="13"/>
  <c r="Q208" i="13"/>
  <c r="Q207" i="13"/>
  <c r="Q206" i="13"/>
  <c r="Q205" i="13"/>
  <c r="Q204" i="13"/>
  <c r="Q203" i="13"/>
  <c r="Q202" i="13"/>
  <c r="Q201" i="13"/>
  <c r="Q200" i="13"/>
  <c r="Q199" i="13"/>
  <c r="Q198" i="13"/>
  <c r="Q197" i="13"/>
  <c r="Q196" i="13"/>
  <c r="Q195" i="13"/>
  <c r="Q194" i="13"/>
  <c r="Q193" i="13"/>
  <c r="Q192" i="13"/>
  <c r="Q191" i="13"/>
  <c r="Q190" i="13"/>
  <c r="Q189" i="13"/>
  <c r="Q188" i="13"/>
  <c r="Q187" i="13"/>
  <c r="Q186" i="13"/>
  <c r="Q185" i="13"/>
  <c r="Q184" i="13"/>
  <c r="Q183" i="13"/>
  <c r="Q182" i="13"/>
  <c r="Q181" i="13"/>
  <c r="Q180" i="13"/>
  <c r="Q179" i="13"/>
  <c r="Q178" i="13"/>
  <c r="Q177" i="13"/>
  <c r="Q176" i="13"/>
  <c r="Q175" i="13"/>
  <c r="Q174" i="13"/>
  <c r="Q173" i="13"/>
  <c r="Q172" i="13"/>
  <c r="Q171" i="13"/>
  <c r="Q170" i="13"/>
  <c r="Q169" i="13"/>
  <c r="Q168" i="13"/>
  <c r="Q167" i="13"/>
  <c r="Q166" i="13"/>
  <c r="Q165" i="13"/>
  <c r="Q164" i="13"/>
  <c r="Q163" i="13"/>
  <c r="Q162" i="13"/>
  <c r="Q161" i="13"/>
  <c r="Q160" i="13"/>
  <c r="Q159" i="13"/>
  <c r="Q158" i="13"/>
  <c r="Q157" i="13"/>
  <c r="Q156" i="13"/>
  <c r="Q155" i="13"/>
  <c r="Q154" i="13"/>
  <c r="Q153" i="13"/>
  <c r="Q152" i="13"/>
  <c r="Q151" i="13"/>
  <c r="Q150" i="13"/>
  <c r="Q149" i="13"/>
  <c r="Q148" i="13"/>
  <c r="Q147" i="13"/>
  <c r="Q146" i="13"/>
  <c r="Q145" i="13"/>
  <c r="Q144" i="13"/>
  <c r="Q143" i="13"/>
  <c r="Q142" i="13"/>
  <c r="Q141" i="13"/>
  <c r="Q140" i="13"/>
  <c r="Q139" i="13"/>
  <c r="Q138" i="13"/>
  <c r="Q137" i="13"/>
  <c r="Q136" i="13"/>
  <c r="Q135" i="13"/>
  <c r="Q134" i="13"/>
  <c r="Q133" i="13"/>
  <c r="Q132" i="13"/>
  <c r="Q131" i="13"/>
  <c r="Q130" i="13"/>
  <c r="Q129" i="13"/>
  <c r="Q128" i="13"/>
  <c r="Q127" i="13"/>
  <c r="Q126" i="13"/>
  <c r="Q125" i="13"/>
  <c r="Q124" i="13"/>
  <c r="Q123" i="13"/>
  <c r="Q122" i="13"/>
  <c r="Q121" i="13"/>
  <c r="Q120" i="13"/>
  <c r="Q119" i="13"/>
  <c r="Q118" i="13"/>
  <c r="Q117" i="13"/>
  <c r="Q116" i="13"/>
  <c r="Q115" i="13"/>
  <c r="Q114" i="13"/>
  <c r="Q113" i="13"/>
  <c r="Q112" i="13"/>
  <c r="Q111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75" i="13"/>
  <c r="Q74" i="13"/>
  <c r="Q73" i="13"/>
  <c r="Q72" i="13"/>
  <c r="Q71" i="13"/>
  <c r="Q70" i="13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Q2" i="13"/>
</calcChain>
</file>

<file path=xl/sharedStrings.xml><?xml version="1.0" encoding="utf-8"?>
<sst xmlns="http://schemas.openxmlformats.org/spreadsheetml/2006/main" count="6132" uniqueCount="603">
  <si>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</si>
  <si>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</si>
  <si>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</si>
  <si>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</si>
  <si>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</si>
  <si>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</si>
  <si>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</si>
  <si>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</si>
  <si>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</si>
  <si>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</si>
  <si>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</si>
  <si>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</si>
  <si>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Engagement</t>
  </si>
  <si>
    <t>A167</t>
  </si>
  <si>
    <t>LinkedIn</t>
  </si>
  <si>
    <t>2024-11-28</t>
  </si>
  <si>
    <t>Carousel</t>
  </si>
  <si>
    <t>#AppleEvent #iPhone16</t>
  </si>
  <si>
    <t>MacBook Air M3 Campaign</t>
  </si>
  <si>
    <t>A4</t>
  </si>
  <si>
    <t>YouTube</t>
  </si>
  <si>
    <t>2024-08-12</t>
  </si>
  <si>
    <t>Video</t>
  </si>
  <si>
    <t>#AppleEvent #iPadPro</t>
  </si>
  <si>
    <t>iPhone 16 Launch</t>
  </si>
  <si>
    <t>A188</t>
  </si>
  <si>
    <t>2024-06-06</t>
  </si>
  <si>
    <t>#Sustainability #AppleEarth</t>
  </si>
  <si>
    <t>Sustainability Awareness Drive</t>
  </si>
  <si>
    <t>A78</t>
  </si>
  <si>
    <t>2024-06-17</t>
  </si>
  <si>
    <t>Image</t>
  </si>
  <si>
    <t>#AppleMusic #AppleLifestyle</t>
  </si>
  <si>
    <t>Apple Watch Ultra 2 Launch</t>
  </si>
  <si>
    <t>A41</t>
  </si>
  <si>
    <t>Tweet</t>
  </si>
  <si>
    <t>#MacBookAirM3 #AppleInnovation</t>
  </si>
  <si>
    <t>Apple Event September 2025</t>
  </si>
  <si>
    <t>A236</t>
  </si>
  <si>
    <t>2024-08-19</t>
  </si>
  <si>
    <t>#iPhonePhotography #ShotOniPhone</t>
  </si>
  <si>
    <t>A245</t>
  </si>
  <si>
    <t>2025-01-12</t>
  </si>
  <si>
    <t>A193</t>
  </si>
  <si>
    <t>Instagram</t>
  </si>
  <si>
    <t>2024-09-11</t>
  </si>
  <si>
    <t>#AppleWatch #Health</t>
  </si>
  <si>
    <t>A173</t>
  </si>
  <si>
    <t>2024-12-05</t>
  </si>
  <si>
    <t>A247</t>
  </si>
  <si>
    <t>2024-08-27</t>
  </si>
  <si>
    <t>#MacBookProM3</t>
  </si>
  <si>
    <t>A273</t>
  </si>
  <si>
    <t>2024-10-12</t>
  </si>
  <si>
    <t>A292</t>
  </si>
  <si>
    <t>2024-11-17</t>
  </si>
  <si>
    <t>A110</t>
  </si>
  <si>
    <t>2024-07-29</t>
  </si>
  <si>
    <t>A181</t>
  </si>
  <si>
    <t>A178</t>
  </si>
  <si>
    <t>#AppleDesign #Innovation</t>
  </si>
  <si>
    <t>A280</t>
  </si>
  <si>
    <t>Twitter</t>
  </si>
  <si>
    <t>A281</t>
  </si>
  <si>
    <t>2025-03-22</t>
  </si>
  <si>
    <t>A43</t>
  </si>
  <si>
    <t>A141</t>
  </si>
  <si>
    <t>#iPhone16Launch #AppleEvent</t>
  </si>
  <si>
    <t>A275</t>
  </si>
  <si>
    <t>2024-08-05</t>
  </si>
  <si>
    <t>A14</t>
  </si>
  <si>
    <t>A79</t>
  </si>
  <si>
    <t>A182</t>
  </si>
  <si>
    <t>2024-07-31</t>
  </si>
  <si>
    <t>A256</t>
  </si>
  <si>
    <t>A206</t>
  </si>
  <si>
    <t>2024-06-24</t>
  </si>
  <si>
    <t>A274</t>
  </si>
  <si>
    <t>2025-01-01</t>
  </si>
  <si>
    <t>A207</t>
  </si>
  <si>
    <t>2024-12-29</t>
  </si>
  <si>
    <t>A142</t>
  </si>
  <si>
    <t>2025-03-25</t>
  </si>
  <si>
    <t>A70</t>
  </si>
  <si>
    <t>2025-04-02</t>
  </si>
  <si>
    <t>A38</t>
  </si>
  <si>
    <t>2025-02-17</t>
  </si>
  <si>
    <t>A134</t>
  </si>
  <si>
    <t>#ShotOniPhone</t>
  </si>
  <si>
    <t>A90</t>
  </si>
  <si>
    <t>2024-06-03</t>
  </si>
  <si>
    <t>A298</t>
  </si>
  <si>
    <t>A283</t>
  </si>
  <si>
    <t>2025-05-09</t>
  </si>
  <si>
    <t>A145</t>
  </si>
  <si>
    <t>A58</t>
  </si>
  <si>
    <t>2025-04-15</t>
  </si>
  <si>
    <t>A16</t>
  </si>
  <si>
    <t>2024-08-26</t>
  </si>
  <si>
    <t>A130</t>
  </si>
  <si>
    <t>2024-09-29</t>
  </si>
  <si>
    <t>A65</t>
  </si>
  <si>
    <t>2025-03-28</t>
  </si>
  <si>
    <t>#AppleWatchUltra2 #HealthTech</t>
  </si>
  <si>
    <t>A171</t>
  </si>
  <si>
    <t>2024-12-31</t>
  </si>
  <si>
    <t>A219</t>
  </si>
  <si>
    <t>2025-01-28</t>
  </si>
  <si>
    <t>A261</t>
  </si>
  <si>
    <t>2024-10-27</t>
  </si>
  <si>
    <t>A200</t>
  </si>
  <si>
    <t>2025-04-07</t>
  </si>
  <si>
    <t>A22</t>
  </si>
  <si>
    <t>A31</t>
  </si>
  <si>
    <t>2024-12-16</t>
  </si>
  <si>
    <t>A9</t>
  </si>
  <si>
    <t>2024-08-30</t>
  </si>
  <si>
    <t>A269</t>
  </si>
  <si>
    <t>2024-11-05</t>
  </si>
  <si>
    <t>A12</t>
  </si>
  <si>
    <t>2024-07-21</t>
  </si>
  <si>
    <t>A30</t>
  </si>
  <si>
    <t>2025-02-25</t>
  </si>
  <si>
    <t>A94</t>
  </si>
  <si>
    <t>2024-11-07</t>
  </si>
  <si>
    <t>A197</t>
  </si>
  <si>
    <t>2024-10-22</t>
  </si>
  <si>
    <t>A113</t>
  </si>
  <si>
    <t>A293</t>
  </si>
  <si>
    <t>2025-05-14</t>
  </si>
  <si>
    <t>A120</t>
  </si>
  <si>
    <t>2024-10-21</t>
  </si>
  <si>
    <t>A69</t>
  </si>
  <si>
    <t>2025-03-08</t>
  </si>
  <si>
    <t>A102</t>
  </si>
  <si>
    <t>A20</t>
  </si>
  <si>
    <t>2024-09-09</t>
  </si>
  <si>
    <t>A49</t>
  </si>
  <si>
    <t>A87</t>
  </si>
  <si>
    <t>A96</t>
  </si>
  <si>
    <t>2024-09-10</t>
  </si>
  <si>
    <t>A28</t>
  </si>
  <si>
    <t>2025-03-04</t>
  </si>
  <si>
    <t>A133</t>
  </si>
  <si>
    <t>2025-02-06</t>
  </si>
  <si>
    <t>A32</t>
  </si>
  <si>
    <t>A288</t>
  </si>
  <si>
    <t>2025-04-17</t>
  </si>
  <si>
    <t>A15</t>
  </si>
  <si>
    <t>A48</t>
  </si>
  <si>
    <t>2025-03-11</t>
  </si>
  <si>
    <t>A81</t>
  </si>
  <si>
    <t>2024-10-19</t>
  </si>
  <si>
    <t>A169</t>
  </si>
  <si>
    <t>2024-12-03</t>
  </si>
  <si>
    <t>A270</t>
  </si>
  <si>
    <t>2025-01-15</t>
  </si>
  <si>
    <t>A156</t>
  </si>
  <si>
    <t>A85</t>
  </si>
  <si>
    <t>2025-04-19</t>
  </si>
  <si>
    <t>A295</t>
  </si>
  <si>
    <t>2025-05-06</t>
  </si>
  <si>
    <t>A149</t>
  </si>
  <si>
    <t>2024-06-16</t>
  </si>
  <si>
    <t>A210</t>
  </si>
  <si>
    <t>2025-02-19</t>
  </si>
  <si>
    <t>A154</t>
  </si>
  <si>
    <t>2024-10-09</t>
  </si>
  <si>
    <t>A218</t>
  </si>
  <si>
    <t>2024-06-11</t>
  </si>
  <si>
    <t>A54</t>
  </si>
  <si>
    <t>2025-03-13</t>
  </si>
  <si>
    <t>A222</t>
  </si>
  <si>
    <t>2024-10-08</t>
  </si>
  <si>
    <t>A99</t>
  </si>
  <si>
    <t>2024-07-02</t>
  </si>
  <si>
    <t>A111</t>
  </si>
  <si>
    <t>2024-11-23</t>
  </si>
  <si>
    <t>A241</t>
  </si>
  <si>
    <t>2025-01-18</t>
  </si>
  <si>
    <t>A279</t>
  </si>
  <si>
    <t>2024-09-02</t>
  </si>
  <si>
    <t>A162</t>
  </si>
  <si>
    <t>2025-04-01</t>
  </si>
  <si>
    <t>A37</t>
  </si>
  <si>
    <t>2025-01-06</t>
  </si>
  <si>
    <t>A45</t>
  </si>
  <si>
    <t>A299</t>
  </si>
  <si>
    <t>A291</t>
  </si>
  <si>
    <t>2024-11-06</t>
  </si>
  <si>
    <t>A257</t>
  </si>
  <si>
    <t>2025-04-06</t>
  </si>
  <si>
    <t>A115</t>
  </si>
  <si>
    <t>A192</t>
  </si>
  <si>
    <t>A177</t>
  </si>
  <si>
    <t>2024-07-10</t>
  </si>
  <si>
    <t>A89</t>
  </si>
  <si>
    <t>A229</t>
  </si>
  <si>
    <t>2024-07-03</t>
  </si>
  <si>
    <t>A18</t>
  </si>
  <si>
    <t>A209</t>
  </si>
  <si>
    <t>2025-03-19</t>
  </si>
  <si>
    <t>A252</t>
  </si>
  <si>
    <t>2025-04-28</t>
  </si>
  <si>
    <t>A17</t>
  </si>
  <si>
    <t>2025-05-05</t>
  </si>
  <si>
    <t>A239</t>
  </si>
  <si>
    <t>A233</t>
  </si>
  <si>
    <t>A211</t>
  </si>
  <si>
    <t>A112</t>
  </si>
  <si>
    <t>2024-10-05</t>
  </si>
  <si>
    <t>A116</t>
  </si>
  <si>
    <t>2025-03-18</t>
  </si>
  <si>
    <t>A277</t>
  </si>
  <si>
    <t>A11</t>
  </si>
  <si>
    <t>2025-02-02</t>
  </si>
  <si>
    <t>A278</t>
  </si>
  <si>
    <t>2024-11-26</t>
  </si>
  <si>
    <t>A101</t>
  </si>
  <si>
    <t>2024-10-18</t>
  </si>
  <si>
    <t>A124</t>
  </si>
  <si>
    <t>A59</t>
  </si>
  <si>
    <t>2024-06-22</t>
  </si>
  <si>
    <t>A267</t>
  </si>
  <si>
    <t>2024-10-04</t>
  </si>
  <si>
    <t>A227</t>
  </si>
  <si>
    <t>2024-06-12</t>
  </si>
  <si>
    <t>A191</t>
  </si>
  <si>
    <t>A172</t>
  </si>
  <si>
    <t>2024-08-14</t>
  </si>
  <si>
    <t>A212</t>
  </si>
  <si>
    <t>2025-03-03</t>
  </si>
  <si>
    <t>A175</t>
  </si>
  <si>
    <t>A176</t>
  </si>
  <si>
    <t>A117</t>
  </si>
  <si>
    <t>2024-11-04</t>
  </si>
  <si>
    <t>A215</t>
  </si>
  <si>
    <t>A8</t>
  </si>
  <si>
    <t>2024-07-13</t>
  </si>
  <si>
    <t>A255</t>
  </si>
  <si>
    <t>2025-04-03</t>
  </si>
  <si>
    <t>A213</t>
  </si>
  <si>
    <t>2025-05-01</t>
  </si>
  <si>
    <t>A25</t>
  </si>
  <si>
    <t>A259</t>
  </si>
  <si>
    <t>2025-02-10</t>
  </si>
  <si>
    <t>A55</t>
  </si>
  <si>
    <t>A64</t>
  </si>
  <si>
    <t>2024-08-17</t>
  </si>
  <si>
    <t>A34</t>
  </si>
  <si>
    <t>A29</t>
  </si>
  <si>
    <t>A137</t>
  </si>
  <si>
    <t>A297</t>
  </si>
  <si>
    <t>2024-12-24</t>
  </si>
  <si>
    <t>A57</t>
  </si>
  <si>
    <t>A86</t>
  </si>
  <si>
    <t>2025-01-27</t>
  </si>
  <si>
    <t>A2</t>
  </si>
  <si>
    <t>A179</t>
  </si>
  <si>
    <t>2024-07-15</t>
  </si>
  <si>
    <t>A266</t>
  </si>
  <si>
    <t>2024-11-25</t>
  </si>
  <si>
    <t>A56</t>
  </si>
  <si>
    <t>2024-12-18</t>
  </si>
  <si>
    <t>A238</t>
  </si>
  <si>
    <t>2024-07-16</t>
  </si>
  <si>
    <t>A26</t>
  </si>
  <si>
    <t>2025-04-05</t>
  </si>
  <si>
    <t>A35</t>
  </si>
  <si>
    <t>2024-11-30</t>
  </si>
  <si>
    <t>A263</t>
  </si>
  <si>
    <t>2024-08-20</t>
  </si>
  <si>
    <t>A208</t>
  </si>
  <si>
    <t>A114</t>
  </si>
  <si>
    <t>2024-11-14</t>
  </si>
  <si>
    <t>A253</t>
  </si>
  <si>
    <t>A118</t>
  </si>
  <si>
    <t>A103</t>
  </si>
  <si>
    <t>A10</t>
  </si>
  <si>
    <t>A165</t>
  </si>
  <si>
    <t>A249</t>
  </si>
  <si>
    <t>2024-07-18</t>
  </si>
  <si>
    <t>A122</t>
  </si>
  <si>
    <t>2024-10-02</t>
  </si>
  <si>
    <t>A166</t>
  </si>
  <si>
    <t>2025-02-16</t>
  </si>
  <si>
    <t>A237</t>
  </si>
  <si>
    <t>A290</t>
  </si>
  <si>
    <t>A243</t>
  </si>
  <si>
    <t>2025-03-06</t>
  </si>
  <si>
    <t>A240</t>
  </si>
  <si>
    <t>A296</t>
  </si>
  <si>
    <t>2025-02-11</t>
  </si>
  <si>
    <t>A198</t>
  </si>
  <si>
    <t>A272</t>
  </si>
  <si>
    <t>2025-03-27</t>
  </si>
  <si>
    <t>A214</t>
  </si>
  <si>
    <t>2024-12-23</t>
  </si>
  <si>
    <t>A180</t>
  </si>
  <si>
    <t>A268</t>
  </si>
  <si>
    <t>2025-04-13</t>
  </si>
  <si>
    <t>A262</t>
  </si>
  <si>
    <t>A199</t>
  </si>
  <si>
    <t>A52</t>
  </si>
  <si>
    <t>A183</t>
  </si>
  <si>
    <t>2024-12-17</t>
  </si>
  <si>
    <t>A33</t>
  </si>
  <si>
    <t>A153</t>
  </si>
  <si>
    <t>A258</t>
  </si>
  <si>
    <t>A282</t>
  </si>
  <si>
    <t>2024-10-03</t>
  </si>
  <si>
    <t>A235</t>
  </si>
  <si>
    <t>2024-12-22</t>
  </si>
  <si>
    <t>A284</t>
  </si>
  <si>
    <t>2024-09-17</t>
  </si>
  <si>
    <t>A146</t>
  </si>
  <si>
    <t>2024-06-05</t>
  </si>
  <si>
    <t>A3</t>
  </si>
  <si>
    <t>2025-05-12</t>
  </si>
  <si>
    <t>A19</t>
  </si>
  <si>
    <t>2024-06-23</t>
  </si>
  <si>
    <t>A225</t>
  </si>
  <si>
    <t>2024-06-20</t>
  </si>
  <si>
    <t>A92</t>
  </si>
  <si>
    <t>A71</t>
  </si>
  <si>
    <t>A195</t>
  </si>
  <si>
    <t>2024-08-15</t>
  </si>
  <si>
    <t>A159</t>
  </si>
  <si>
    <t>A128</t>
  </si>
  <si>
    <t>2025-01-10</t>
  </si>
  <si>
    <t>A27</t>
  </si>
  <si>
    <t>A161</t>
  </si>
  <si>
    <t>A98</t>
  </si>
  <si>
    <t>2024-06-10</t>
  </si>
  <si>
    <t>A143</t>
  </si>
  <si>
    <t>A95</t>
  </si>
  <si>
    <t>2024-11-08</t>
  </si>
  <si>
    <t>A250</t>
  </si>
  <si>
    <t>A204</t>
  </si>
  <si>
    <t>A63</t>
  </si>
  <si>
    <t>A107</t>
  </si>
  <si>
    <t>2024-06-21</t>
  </si>
  <si>
    <t>A234</t>
  </si>
  <si>
    <t>2024-06-01</t>
  </si>
  <si>
    <t>A228</t>
  </si>
  <si>
    <t>2024-07-01</t>
  </si>
  <si>
    <t>A66</t>
  </si>
  <si>
    <t>2024-07-26</t>
  </si>
  <si>
    <t>A217</t>
  </si>
  <si>
    <t>A109</t>
  </si>
  <si>
    <t>2024-08-08</t>
  </si>
  <si>
    <t>A157</t>
  </si>
  <si>
    <t>2024-07-23</t>
  </si>
  <si>
    <t>A144</t>
  </si>
  <si>
    <t>2024-10-28</t>
  </si>
  <si>
    <t>A36</t>
  </si>
  <si>
    <t>A131</t>
  </si>
  <si>
    <t>A271</t>
  </si>
  <si>
    <t>2024-10-17</t>
  </si>
  <si>
    <t>A24</t>
  </si>
  <si>
    <t>2025-01-23</t>
  </si>
  <si>
    <t>A205</t>
  </si>
  <si>
    <t>A135</t>
  </si>
  <si>
    <t>A194</t>
  </si>
  <si>
    <t>A138</t>
  </si>
  <si>
    <t>2025-03-29</t>
  </si>
  <si>
    <t>A53</t>
  </si>
  <si>
    <t>2025-02-24</t>
  </si>
  <si>
    <t>A84</t>
  </si>
  <si>
    <t>2024-12-09</t>
  </si>
  <si>
    <t>A1</t>
  </si>
  <si>
    <t>A294</t>
  </si>
  <si>
    <t>2024-06-19</t>
  </si>
  <si>
    <t>A100</t>
  </si>
  <si>
    <t>A7</t>
  </si>
  <si>
    <t>A265</t>
  </si>
  <si>
    <t>2025-02-20</t>
  </si>
  <si>
    <t>A72</t>
  </si>
  <si>
    <t>A147</t>
  </si>
  <si>
    <t>A60</t>
  </si>
  <si>
    <t>A168</t>
  </si>
  <si>
    <t>2024-11-12</t>
  </si>
  <si>
    <t>A39</t>
  </si>
  <si>
    <t>A88</t>
  </si>
  <si>
    <t>2024-07-07</t>
  </si>
  <si>
    <t>A184</t>
  </si>
  <si>
    <t>A203</t>
  </si>
  <si>
    <t>2024-11-21</t>
  </si>
  <si>
    <t>A67</t>
  </si>
  <si>
    <t>A224</t>
  </si>
  <si>
    <t>A232</t>
  </si>
  <si>
    <t>2025-04-29</t>
  </si>
  <si>
    <t>A155</t>
  </si>
  <si>
    <t>2024-12-21</t>
  </si>
  <si>
    <t>A242</t>
  </si>
  <si>
    <t>A104</t>
  </si>
  <si>
    <t>2025-03-23</t>
  </si>
  <si>
    <t>A248</t>
  </si>
  <si>
    <t>A108</t>
  </si>
  <si>
    <t>A264</t>
  </si>
  <si>
    <t>2025-01-30</t>
  </si>
  <si>
    <t>A77</t>
  </si>
  <si>
    <t>A40</t>
  </si>
  <si>
    <t>A132</t>
  </si>
  <si>
    <t>A50</t>
  </si>
  <si>
    <t>A189</t>
  </si>
  <si>
    <t>2025-03-24</t>
  </si>
  <si>
    <t>A75</t>
  </si>
  <si>
    <t>2024-08-01</t>
  </si>
  <si>
    <t>A62</t>
  </si>
  <si>
    <t>A285</t>
  </si>
  <si>
    <t>A221</t>
  </si>
  <si>
    <t>A73</t>
  </si>
  <si>
    <t>A202</t>
  </si>
  <si>
    <t>A158</t>
  </si>
  <si>
    <t>2024-08-11</t>
  </si>
  <si>
    <t>A160</t>
  </si>
  <si>
    <t>2024-08-24</t>
  </si>
  <si>
    <t>A276</t>
  </si>
  <si>
    <t>2024-06-07</t>
  </si>
  <si>
    <t>A44</t>
  </si>
  <si>
    <t>2025-03-02</t>
  </si>
  <si>
    <t>A91</t>
  </si>
  <si>
    <t>A125</t>
  </si>
  <si>
    <t>2024-09-08</t>
  </si>
  <si>
    <t>A23</t>
  </si>
  <si>
    <t>A139</t>
  </si>
  <si>
    <t>2024-10-29</t>
  </si>
  <si>
    <t>A148</t>
  </si>
  <si>
    <t>A230</t>
  </si>
  <si>
    <t>A152</t>
  </si>
  <si>
    <t>A47</t>
  </si>
  <si>
    <t>A97</t>
  </si>
  <si>
    <t>2024-08-13</t>
  </si>
  <si>
    <t>A129</t>
  </si>
  <si>
    <t>A126</t>
  </si>
  <si>
    <t>A68</t>
  </si>
  <si>
    <t>2024-12-08</t>
  </si>
  <si>
    <t>A300</t>
  </si>
  <si>
    <t>A163</t>
  </si>
  <si>
    <t>2025-04-08</t>
  </si>
  <si>
    <t>A93</t>
  </si>
  <si>
    <t>2024-12-11</t>
  </si>
  <si>
    <t>A260</t>
  </si>
  <si>
    <t>2025-02-12</t>
  </si>
  <si>
    <t>A246</t>
  </si>
  <si>
    <t>2024-10-11</t>
  </si>
  <si>
    <t>A42</t>
  </si>
  <si>
    <t>2025-03-05</t>
  </si>
  <si>
    <t>A74</t>
  </si>
  <si>
    <t>A251</t>
  </si>
  <si>
    <t>A190</t>
  </si>
  <si>
    <t>A187</t>
  </si>
  <si>
    <t>A46</t>
  </si>
  <si>
    <t>2025-05-02</t>
  </si>
  <si>
    <t>A170</t>
  </si>
  <si>
    <t>A119</t>
  </si>
  <si>
    <t>2025-02-07</t>
  </si>
  <si>
    <t>A105</t>
  </si>
  <si>
    <t>2024-06-14</t>
  </si>
  <si>
    <t>A286</t>
  </si>
  <si>
    <t>A61</t>
  </si>
  <si>
    <t>2024-09-05</t>
  </si>
  <si>
    <t>A186</t>
  </si>
  <si>
    <t>A289</t>
  </si>
  <si>
    <t>A6</t>
  </si>
  <si>
    <t>A51</t>
  </si>
  <si>
    <t>2024-06-13</t>
  </si>
  <si>
    <t>A216</t>
  </si>
  <si>
    <t>A76</t>
  </si>
  <si>
    <t>A244</t>
  </si>
  <si>
    <t>A21</t>
  </si>
  <si>
    <t>A220</t>
  </si>
  <si>
    <t>2024-06-02</t>
  </si>
  <si>
    <t>A150</t>
  </si>
  <si>
    <t>2024-08-22</t>
  </si>
  <si>
    <t>A80</t>
  </si>
  <si>
    <t>A5</t>
  </si>
  <si>
    <t>A136</t>
  </si>
  <si>
    <t>A196</t>
  </si>
  <si>
    <t>A83</t>
  </si>
  <si>
    <t>2024-10-15</t>
  </si>
  <si>
    <t>A140</t>
  </si>
  <si>
    <t>A151</t>
  </si>
  <si>
    <t>A164</t>
  </si>
  <si>
    <t>2025-02-27</t>
  </si>
  <si>
    <t>A223</t>
  </si>
  <si>
    <t>A254</t>
  </si>
  <si>
    <t>2025-01-14</t>
  </si>
  <si>
    <t>A174</t>
  </si>
  <si>
    <t>A106</t>
  </si>
  <si>
    <t>2025-02-04</t>
  </si>
  <si>
    <t>A185</t>
  </si>
  <si>
    <t>2025-01-11</t>
  </si>
  <si>
    <t>A231</t>
  </si>
  <si>
    <t>A226</t>
  </si>
  <si>
    <t>A287</t>
  </si>
  <si>
    <t>A123</t>
  </si>
  <si>
    <t>A13</t>
  </si>
  <si>
    <t>2024-11-18</t>
  </si>
  <si>
    <t>A127</t>
  </si>
  <si>
    <t>A121</t>
  </si>
  <si>
    <t>A201</t>
  </si>
  <si>
    <t>A82</t>
  </si>
  <si>
    <t>2024-07-24</t>
  </si>
  <si>
    <t>Week_Start_Date</t>
  </si>
  <si>
    <t>New_Followers</t>
  </si>
  <si>
    <t>Unfollows</t>
  </si>
  <si>
    <t>Total_Followers</t>
  </si>
  <si>
    <t>Engagement_Rate</t>
  </si>
  <si>
    <t>Ad_Spend</t>
  </si>
  <si>
    <t>Follower_Growth_Rate</t>
  </si>
  <si>
    <t>2024-09-23</t>
  </si>
  <si>
    <t>2024-09-30</t>
  </si>
  <si>
    <t>2024-12-30</t>
  </si>
  <si>
    <t>2025-01-13</t>
  </si>
  <si>
    <t>2024-10-07</t>
  </si>
  <si>
    <t>2025-03-17</t>
  </si>
  <si>
    <t>2025-04-21</t>
  </si>
  <si>
    <t>2024-12-02</t>
  </si>
  <si>
    <t>2025-03-31</t>
  </si>
  <si>
    <t>2025-03-10</t>
  </si>
  <si>
    <t>2024-07-22</t>
  </si>
  <si>
    <t>2024-07-08</t>
  </si>
  <si>
    <t>2025-04-14</t>
  </si>
  <si>
    <t>2024-11-11</t>
  </si>
  <si>
    <t>2024-09-16</t>
  </si>
  <si>
    <t>2024-10-14</t>
  </si>
  <si>
    <t>2025-01-20</t>
  </si>
  <si>
    <t>2025-02-03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</si>
  <si>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</si>
  <si>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</si>
  <si>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</si>
  <si>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</si>
  <si>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</si>
  <si>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</si>
  <si>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</si>
  <si>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</si>
  <si>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</si>
  <si>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</si>
  <si>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</si>
  <si>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</si>
  <si>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</si>
  <si>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</si>
  <si>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</si>
  <si>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Hashtag 1</t>
  </si>
  <si>
    <t>Hashtag 2</t>
  </si>
  <si>
    <t>#AppleMusic</t>
  </si>
  <si>
    <t>#AppleLifestyle</t>
  </si>
  <si>
    <t>#AppleWatchUltra2</t>
  </si>
  <si>
    <t>#HealthTech</t>
  </si>
  <si>
    <t>#AppleEvent</t>
  </si>
  <si>
    <t>#iPhone16</t>
  </si>
  <si>
    <t>#iPadPro</t>
  </si>
  <si>
    <t>#AppleWatch</t>
  </si>
  <si>
    <t>#Health</t>
  </si>
  <si>
    <t>#MacBookAirM3</t>
  </si>
  <si>
    <t>#AppleInnovation</t>
  </si>
  <si>
    <t>#AppleDesign</t>
  </si>
  <si>
    <t>#Innovation</t>
  </si>
  <si>
    <t>#iPhonePhotography</t>
  </si>
  <si>
    <t>#iPhone16Launch</t>
  </si>
  <si>
    <t>#Sustainability</t>
  </si>
  <si>
    <t>#AppleEarth</t>
  </si>
  <si>
    <t>Total Likes, Shares &amp; Comments by Content Type and Platform</t>
  </si>
  <si>
    <t>Sum of Likes</t>
  </si>
  <si>
    <t>Sum of Shares</t>
  </si>
  <si>
    <t>Sum of Comments</t>
  </si>
  <si>
    <t>Carousel Total</t>
  </si>
  <si>
    <t>Image Total</t>
  </si>
  <si>
    <t>Tweet Total</t>
  </si>
  <si>
    <t>Video Total</t>
  </si>
  <si>
    <t>Grand Total</t>
  </si>
  <si>
    <t>Average Clicks per post by Hashtag</t>
  </si>
  <si>
    <t>Top performing Hashtags</t>
  </si>
  <si>
    <t>Average of Clicks</t>
  </si>
  <si>
    <t>Average of Engagement</t>
  </si>
  <si>
    <t>Engagement vs Ad Spent per Platform</t>
  </si>
  <si>
    <t>Follower Growth Rate across Platforms</t>
  </si>
  <si>
    <t>Sum of Ad_Spend</t>
  </si>
  <si>
    <t>Sum of Engagement_Rate</t>
  </si>
  <si>
    <t>Sum of Follower_Growth_Rate</t>
  </si>
  <si>
    <t>Highest Engagement Rate per platform</t>
  </si>
  <si>
    <t>Most Frequently used Apple Hashtags</t>
  </si>
  <si>
    <t>Average Performance of Posts containing Each Hashtag</t>
  </si>
  <si>
    <t>Count of Clicks</t>
  </si>
  <si>
    <t>Average of Likes</t>
  </si>
  <si>
    <t>Average of Shares</t>
  </si>
  <si>
    <t>Average of Comments</t>
  </si>
  <si>
    <t>Average of Impressions</t>
  </si>
  <si>
    <t>Content Type Performs Best on Each Platform</t>
  </si>
  <si>
    <t>Average of Reach</t>
  </si>
  <si>
    <t>Total Impressions, Likes and Clicks per Campaign</t>
  </si>
  <si>
    <t>Sum of Impressions</t>
  </si>
  <si>
    <t>Sum of Clicks</t>
  </si>
  <si>
    <t>Average Impressions, Likes and Clicks per Campaign</t>
  </si>
  <si>
    <t>Period</t>
  </si>
  <si>
    <t>Avg Before</t>
  </si>
  <si>
    <t>Avg During</t>
  </si>
  <si>
    <t>Uplift</t>
  </si>
  <si>
    <t>The Avg Before column tells about the average engagement before the Start Date of each campaign.</t>
  </si>
  <si>
    <t>The Avg During column tells about the average engagement rate after the Start Date &amp; before the end date of each campaign.</t>
  </si>
  <si>
    <t>Weekly Follower Growth for Each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</si>
</sst>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yyyy\-mm\-dd\ hh:mm:ss"/>
    <numFmt numFmtId="165" formatCode="yyyy\-mm\-dd"/>
    <numFmt numFmtId="166" formatCode="yyyy\-m\-d"/>
    <numFmt numFmtId="167" formatCode="#,##0.000"/>
    <numFmt numFmtId="168" formatCode="yyyy\-mm\-dd;@"/>
    <numFmt numFmtId="169" formatCode="0.000"/>
    <numFmt numFmtId="170" formatCode="&quot;$&quot;#,##0.00"/>
  </numFmts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/>
    <xf numFmtId="164" fontId="3" fillId="0" borderId="0" xfId="0" applyNumberFormat="1" applyFont="1" applyAlignment="1"/>
    <xf numFmtId="165" fontId="3" fillId="0" borderId="0" xfId="0" applyNumberFormat="1" applyFont="1" applyAlignment="1"/>
    <xf numFmtId="0" fontId="3" fillId="0" borderId="3" xfId="0" applyFont="1" applyBorder="1" applyAlignment="1">
      <alignment wrapText="1"/>
    </xf>
    <xf numFmtId="0" fontId="3" fillId="0" borderId="0" xfId="0" applyFont="1" applyAlignment="1"/>
    <xf numFmtId="0" fontId="0" fillId="0" borderId="0" xfId="0" applyFont="1" applyAlignment="1">
      <alignment wrapText="1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3" fontId="2" fillId="0" borderId="0" xfId="0" applyNumberFormat="1" applyFont="1"/>
    <xf numFmtId="3" fontId="3" fillId="0" borderId="3" xfId="0" applyNumberFormat="1" applyFont="1" applyBorder="1" applyAlignment="1">
      <alignment horizontal="right" wrapText="1"/>
    </xf>
    <xf numFmtId="3" fontId="0" fillId="0" borderId="0" xfId="0" applyNumberFormat="1" applyFont="1" applyAlignment="1"/>
    <xf numFmtId="0" fontId="1" fillId="0" borderId="4" xfId="0" applyFont="1" applyBorder="1" applyAlignment="1">
      <alignment horizontal="center" vertical="top"/>
    </xf>
    <xf numFmtId="0" fontId="4" fillId="0" borderId="0" xfId="0" applyFont="1" applyAlignment="1">
      <alignment wrapText="1"/>
    </xf>
    <xf numFmtId="167" fontId="0" fillId="0" borderId="0" xfId="0" applyNumberFormat="1" applyFont="1" applyAlignment="1"/>
    <xf numFmtId="168" fontId="3" fillId="0" borderId="0" xfId="0" applyNumberFormat="1" applyFont="1" applyAlignment="1">
      <alignment horizontal="left" vertical="top"/>
    </xf>
    <xf numFmtId="0" fontId="0" fillId="0" borderId="0" xfId="0" pivotButton="1" applyFont="1" applyAlignment="1"/>
    <xf numFmtId="0" fontId="0" fillId="0" borderId="0" xfId="0" applyNumberFormat="1" applyFont="1" applyAlignment="1"/>
    <xf numFmtId="0" fontId="1" fillId="0" borderId="4" xfId="0" applyFont="1" applyBorder="1" applyAlignment="1">
      <alignment horizontal="center" vertical="top" wrapText="1"/>
    </xf>
    <xf numFmtId="2" fontId="0" fillId="0" borderId="0" xfId="0" applyNumberFormat="1" applyFont="1" applyAlignment="1"/>
    <xf numFmtId="0" fontId="1" fillId="0" borderId="1" xfId="0" applyFont="1" applyBorder="1" applyAlignment="1">
      <alignment horizontal="center" vertical="top" wrapText="1"/>
    </xf>
    <xf numFmtId="6" fontId="2" fillId="0" borderId="0" xfId="0" applyNumberFormat="1" applyFont="1"/>
    <xf numFmtId="3" fontId="1" fillId="0" borderId="4" xfId="0" applyNumberFormat="1" applyFont="1" applyBorder="1" applyAlignment="1">
      <alignment horizontal="center" vertical="top"/>
    </xf>
    <xf numFmtId="14" fontId="0" fillId="0" borderId="0" xfId="0" applyNumberFormat="1" applyFont="1" applyAlignment="1">
      <alignment horizontal="left" vertical="top"/>
    </xf>
    <xf numFmtId="169" fontId="0" fillId="0" borderId="0" xfId="0" applyNumberFormat="1" applyFont="1" applyAlignment="1"/>
    <xf numFmtId="168" fontId="0" fillId="0" borderId="0" xfId="0" applyNumberFormat="1" applyFont="1" applyAlignment="1">
      <alignment horizontal="left" vertical="top"/>
    </xf>
    <xf numFmtId="168" fontId="3" fillId="0" borderId="0" xfId="0" applyNumberFormat="1" applyFont="1" applyAlignment="1">
      <alignment horizontal="left"/>
    </xf>
    <xf numFmtId="10" fontId="0" fillId="0" borderId="0" xfId="0" applyNumberFormat="1" applyFont="1" applyAlignment="1"/>
    <xf numFmtId="0" fontId="1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wrapText="1"/>
    </xf>
    <xf numFmtId="0" fontId="4" fillId="0" borderId="1" xfId="0" applyFont="1" applyBorder="1" applyAlignment="1"/>
    <xf numFmtId="170" fontId="0" fillId="0" borderId="0" xfId="0" applyNumberFormat="1" applyFont="1" applyAlignment="1"/>
    <xf numFmtId="1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0" fontId="2" fillId="0" borderId="0" xfId="0" applyNumberFormat="1" applyFont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vertical="top"/>
    </dxf>
    <dxf>
      <alignment vertical="top"/>
    </dxf>
    <dxf>
      <alignment horizontal="left"/>
    </dxf>
    <dxf>
      <alignment horizontal="left"/>
    </dxf>
    <dxf>
      <numFmt numFmtId="169" formatCode="0.000"/>
    </dxf>
    <dxf>
      <numFmt numFmtId="19" formatCode="m/d/yyyy"/>
    </dxf>
    <dxf>
      <numFmt numFmtId="168" formatCode="yyyy\-mm\-dd;@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0" formatCode="&quot;$&quot;#,##0.00"/>
    </dxf>
    <dxf>
      <numFmt numFmtId="167" formatCode="#,##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 3.xlsx]Platform Analysis (Task 3)!PivotTable7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vs Ad Spent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Analysis (Task 3)'!$B$3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'Platform Analysis (Task 3)'!$A$4:$A$8</c:f>
              <c:strCache>
                <c:ptCount val="4"/>
                <c:pt idx="0">
                  <c:v>LinkedIn</c:v>
                </c:pt>
                <c:pt idx="1">
                  <c:v>Twitter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'Platform Analysis (Task 3)'!$B$4:$B$8</c:f>
              <c:numCache>
                <c:formatCode>"$"#,##0.00</c:formatCode>
                <c:ptCount val="4"/>
                <c:pt idx="0">
                  <c:v>1990523</c:v>
                </c:pt>
                <c:pt idx="1">
                  <c:v>1874083</c:v>
                </c:pt>
                <c:pt idx="2">
                  <c:v>1775883</c:v>
                </c:pt>
                <c:pt idx="3">
                  <c:v>1286371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C-4C3E-9339-720143A7B3F1}"/>
            </c:ext>
          </c:extLst>
        </c:ser>
        <c:ser>
          <c:idx val="1"/>
          <c:order val="1"/>
          <c:tx>
            <c:strRef>
              <c:f>'Platform Analysis (Task 3)'!$C$3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'Platform Analysis (Task 3)'!$A$4:$A$8</c:f>
              <c:strCache>
                <c:ptCount val="4"/>
                <c:pt idx="0">
                  <c:v>LinkedIn</c:v>
                </c:pt>
                <c:pt idx="1">
                  <c:v>Twitter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'Platform Analysis (Task 3)'!$C$4:$C$8</c:f>
              <c:numCache>
                <c:formatCode>0.00</c:formatCode>
                <c:ptCount val="4"/>
                <c:pt idx="0">
                  <c:v>773.73990786400122</c:v>
                </c:pt>
                <c:pt idx="1">
                  <c:v>926.46719530699636</c:v>
                </c:pt>
                <c:pt idx="2">
                  <c:v>793.52388174319526</c:v>
                </c:pt>
                <c:pt idx="3">
                  <c:v>721.569779481468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3C-4C3E-9339-720143A7B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207560"/>
        <c:axId val="901230600"/>
      </c:barChart>
      <c:catAx>
        <c:axId val="90120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30600"/>
        <c:crosses val="autoZero"/>
        <c:auto val="1"/>
        <c:lblAlgn val="ctr"/>
        <c:lblOffset val="100"/>
        <c:noMultiLvlLbl val="0"/>
      </c:catAx>
      <c:valAx>
        <c:axId val="90123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 3.xlsx]Follower Retention (Task 6)!PivotTable6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Follower Growth per Platform</a:t>
            </a:r>
          </a:p>
        </c:rich>
      </c:tx>
      <c:layout>
        <c:manualLayout>
          <c:xMode val="edge"/>
          <c:yMode val="edge"/>
          <c:x val="0.45283600518146733"/>
          <c:y val="1.4127311749947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'Follower Retention (Task 6)'!$B$3:$B$4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'Follower Retention (Task 6)'!$A$5:$A$94</c:f>
              <c:strCache>
                <c:ptCount val="89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6/3/2024</c:v>
                </c:pt>
                <c:pt idx="51">
                  <c:v>6/4/2024</c:v>
                </c:pt>
                <c:pt idx="52">
                  <c:v>6/5/2024</c:v>
                </c:pt>
                <c:pt idx="53">
                  <c:v>6/6/2024</c:v>
                </c:pt>
                <c:pt idx="54">
                  <c:v>6/7/2024</c:v>
                </c:pt>
                <c:pt idx="55">
                  <c:v>6/8/2024</c:v>
                </c:pt>
                <c:pt idx="56">
                  <c:v>6/9/2024</c:v>
                </c:pt>
                <c:pt idx="57">
                  <c:v>6/10/2024</c:v>
                </c:pt>
                <c:pt idx="58">
                  <c:v>6/11/2024</c:v>
                </c:pt>
                <c:pt idx="59">
                  <c:v>6/12/2024</c:v>
                </c:pt>
                <c:pt idx="60">
                  <c:v>6/13/2024</c:v>
                </c:pt>
                <c:pt idx="61">
                  <c:v>6/14/2024</c:v>
                </c:pt>
                <c:pt idx="62">
                  <c:v>6/15/2024</c:v>
                </c:pt>
                <c:pt idx="63">
                  <c:v>6/16/2024</c:v>
                </c:pt>
                <c:pt idx="64">
                  <c:v>6/17/2024</c:v>
                </c:pt>
                <c:pt idx="65">
                  <c:v>6/18/2024</c:v>
                </c:pt>
                <c:pt idx="66">
                  <c:v>6/19/2024</c:v>
                </c:pt>
                <c:pt idx="67">
                  <c:v>6/20/2024</c:v>
                </c:pt>
                <c:pt idx="68">
                  <c:v>6/21/2024</c:v>
                </c:pt>
                <c:pt idx="69">
                  <c:v>6/22/2024</c:v>
                </c:pt>
                <c:pt idx="70">
                  <c:v>6/23/2024</c:v>
                </c:pt>
                <c:pt idx="71">
                  <c:v>6/24/2024</c:v>
                </c:pt>
                <c:pt idx="72">
                  <c:v>6/25/2024</c:v>
                </c:pt>
                <c:pt idx="73">
                  <c:v>6/26/2024</c:v>
                </c:pt>
                <c:pt idx="74">
                  <c:v>6/27/2024</c:v>
                </c:pt>
                <c:pt idx="75">
                  <c:v>6/28/2024</c:v>
                </c:pt>
                <c:pt idx="76">
                  <c:v>6/29/2024</c:v>
                </c:pt>
                <c:pt idx="77">
                  <c:v>6/30/2024</c:v>
                </c:pt>
                <c:pt idx="78">
                  <c:v>7/1/2024</c:v>
                </c:pt>
                <c:pt idx="79">
                  <c:v>7/2/2024</c:v>
                </c:pt>
                <c:pt idx="80">
                  <c:v>7/3/2024</c:v>
                </c:pt>
                <c:pt idx="81">
                  <c:v>7/4/2024</c:v>
                </c:pt>
                <c:pt idx="82">
                  <c:v>7/5/2024</c:v>
                </c:pt>
                <c:pt idx="83">
                  <c:v>7/6/2024</c:v>
                </c:pt>
                <c:pt idx="84">
                  <c:v>7/7/2024</c:v>
                </c:pt>
                <c:pt idx="85">
                  <c:v>7/8/2024</c:v>
                </c:pt>
                <c:pt idx="86">
                  <c:v>7/9/2024</c:v>
                </c:pt>
                <c:pt idx="87">
                  <c:v>7/10/2024</c:v>
                </c:pt>
                <c:pt idx="88">
                  <c:v>7/11/2024</c:v>
                </c:pt>
              </c:strCache>
            </c:strRef>
          </c:cat>
          <c:val>
            <c:numRef>
              <c:f>'Follower Retention (Task 6)'!$B$5:$B$94</c:f>
              <c:numCache>
                <c:formatCode>0.000</c:formatCode>
                <c:ptCount val="89"/>
                <c:pt idx="0">
                  <c:v>3.7769999999999997</c:v>
                </c:pt>
                <c:pt idx="1">
                  <c:v>5.6720360368859222</c:v>
                </c:pt>
                <c:pt idx="2">
                  <c:v>8.2890924181160788</c:v>
                </c:pt>
                <c:pt idx="3">
                  <c:v>2.642683256694617</c:v>
                </c:pt>
                <c:pt idx="4">
                  <c:v>2.6922950307308042</c:v>
                </c:pt>
                <c:pt idx="6">
                  <c:v>2.0147476831066911</c:v>
                </c:pt>
                <c:pt idx="9">
                  <c:v>1.0489578980359382</c:v>
                </c:pt>
                <c:pt idx="10">
                  <c:v>2.1008648095181162</c:v>
                </c:pt>
                <c:pt idx="11">
                  <c:v>3.9194685517374062</c:v>
                </c:pt>
                <c:pt idx="12">
                  <c:v>2.179716009300404</c:v>
                </c:pt>
                <c:pt idx="13">
                  <c:v>1.8841509178181095</c:v>
                </c:pt>
                <c:pt idx="14">
                  <c:v>1.8003285200389967</c:v>
                </c:pt>
                <c:pt idx="16">
                  <c:v>2.822774539959692</c:v>
                </c:pt>
                <c:pt idx="17">
                  <c:v>2.0890301434062364</c:v>
                </c:pt>
                <c:pt idx="18">
                  <c:v>0.95555705717045403</c:v>
                </c:pt>
                <c:pt idx="20">
                  <c:v>4.4076114282818493</c:v>
                </c:pt>
                <c:pt idx="24">
                  <c:v>0.83173302743792354</c:v>
                </c:pt>
                <c:pt idx="25">
                  <c:v>2.2341736690728773</c:v>
                </c:pt>
                <c:pt idx="26">
                  <c:v>1.3204362190307877</c:v>
                </c:pt>
                <c:pt idx="27">
                  <c:v>0.49389445984842106</c:v>
                </c:pt>
                <c:pt idx="28">
                  <c:v>0.6755210343173057</c:v>
                </c:pt>
                <c:pt idx="29">
                  <c:v>0.59020861151850801</c:v>
                </c:pt>
                <c:pt idx="30">
                  <c:v>0.55671225348242404</c:v>
                </c:pt>
                <c:pt idx="32">
                  <c:v>0.36164640174839124</c:v>
                </c:pt>
                <c:pt idx="34">
                  <c:v>0.42102659760120009</c:v>
                </c:pt>
                <c:pt idx="37">
                  <c:v>1.2460796592376806</c:v>
                </c:pt>
                <c:pt idx="38">
                  <c:v>1.607622413163921</c:v>
                </c:pt>
                <c:pt idx="40">
                  <c:v>0.30288284989089542</c:v>
                </c:pt>
                <c:pt idx="41">
                  <c:v>0.82499746292386578</c:v>
                </c:pt>
                <c:pt idx="43">
                  <c:v>0.57959335775418919</c:v>
                </c:pt>
                <c:pt idx="44">
                  <c:v>0.13122235697453735</c:v>
                </c:pt>
                <c:pt idx="46">
                  <c:v>1.342054334111102</c:v>
                </c:pt>
                <c:pt idx="48">
                  <c:v>0.68608993389951478</c:v>
                </c:pt>
                <c:pt idx="49">
                  <c:v>0.24015184788499425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2-4CCC-9624-51E7A5918F05}"/>
            </c:ext>
          </c:extLst>
        </c:ser>
        <c:ser>
          <c:idx val="1"/>
          <c:order val="1"/>
          <c:tx>
            <c:strRef>
              <c:f>'Follower Retention (Task 6)'!$C$3:$C$4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'Follower Retention (Task 6)'!$A$5:$A$94</c:f>
              <c:strCache>
                <c:ptCount val="89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6/3/2024</c:v>
                </c:pt>
                <c:pt idx="51">
                  <c:v>6/4/2024</c:v>
                </c:pt>
                <c:pt idx="52">
                  <c:v>6/5/2024</c:v>
                </c:pt>
                <c:pt idx="53">
                  <c:v>6/6/2024</c:v>
                </c:pt>
                <c:pt idx="54">
                  <c:v>6/7/2024</c:v>
                </c:pt>
                <c:pt idx="55">
                  <c:v>6/8/2024</c:v>
                </c:pt>
                <c:pt idx="56">
                  <c:v>6/9/2024</c:v>
                </c:pt>
                <c:pt idx="57">
                  <c:v>6/10/2024</c:v>
                </c:pt>
                <c:pt idx="58">
                  <c:v>6/11/2024</c:v>
                </c:pt>
                <c:pt idx="59">
                  <c:v>6/12/2024</c:v>
                </c:pt>
                <c:pt idx="60">
                  <c:v>6/13/2024</c:v>
                </c:pt>
                <c:pt idx="61">
                  <c:v>6/14/2024</c:v>
                </c:pt>
                <c:pt idx="62">
                  <c:v>6/15/2024</c:v>
                </c:pt>
                <c:pt idx="63">
                  <c:v>6/16/2024</c:v>
                </c:pt>
                <c:pt idx="64">
                  <c:v>6/17/2024</c:v>
                </c:pt>
                <c:pt idx="65">
                  <c:v>6/18/2024</c:v>
                </c:pt>
                <c:pt idx="66">
                  <c:v>6/19/2024</c:v>
                </c:pt>
                <c:pt idx="67">
                  <c:v>6/20/2024</c:v>
                </c:pt>
                <c:pt idx="68">
                  <c:v>6/21/2024</c:v>
                </c:pt>
                <c:pt idx="69">
                  <c:v>6/22/2024</c:v>
                </c:pt>
                <c:pt idx="70">
                  <c:v>6/23/2024</c:v>
                </c:pt>
                <c:pt idx="71">
                  <c:v>6/24/2024</c:v>
                </c:pt>
                <c:pt idx="72">
                  <c:v>6/25/2024</c:v>
                </c:pt>
                <c:pt idx="73">
                  <c:v>6/26/2024</c:v>
                </c:pt>
                <c:pt idx="74">
                  <c:v>6/27/2024</c:v>
                </c:pt>
                <c:pt idx="75">
                  <c:v>6/28/2024</c:v>
                </c:pt>
                <c:pt idx="76">
                  <c:v>6/29/2024</c:v>
                </c:pt>
                <c:pt idx="77">
                  <c:v>6/30/2024</c:v>
                </c:pt>
                <c:pt idx="78">
                  <c:v>7/1/2024</c:v>
                </c:pt>
                <c:pt idx="79">
                  <c:v>7/2/2024</c:v>
                </c:pt>
                <c:pt idx="80">
                  <c:v>7/3/2024</c:v>
                </c:pt>
                <c:pt idx="81">
                  <c:v>7/4/2024</c:v>
                </c:pt>
                <c:pt idx="82">
                  <c:v>7/5/2024</c:v>
                </c:pt>
                <c:pt idx="83">
                  <c:v>7/6/2024</c:v>
                </c:pt>
                <c:pt idx="84">
                  <c:v>7/7/2024</c:v>
                </c:pt>
                <c:pt idx="85">
                  <c:v>7/8/2024</c:v>
                </c:pt>
                <c:pt idx="86">
                  <c:v>7/9/2024</c:v>
                </c:pt>
                <c:pt idx="87">
                  <c:v>7/10/2024</c:v>
                </c:pt>
                <c:pt idx="88">
                  <c:v>7/11/2024</c:v>
                </c:pt>
              </c:strCache>
            </c:strRef>
          </c:cat>
          <c:val>
            <c:numRef>
              <c:f>'Follower Retention (Task 6)'!$C$5:$C$94</c:f>
              <c:numCache>
                <c:formatCode>0.000</c:formatCode>
                <c:ptCount val="89"/>
                <c:pt idx="2">
                  <c:v>4.1076988827156731</c:v>
                </c:pt>
                <c:pt idx="4">
                  <c:v>2.656993037721294</c:v>
                </c:pt>
                <c:pt idx="5">
                  <c:v>4.8391598861549383</c:v>
                </c:pt>
                <c:pt idx="7">
                  <c:v>5.8191036421285594</c:v>
                </c:pt>
                <c:pt idx="8">
                  <c:v>2.5934211299327354</c:v>
                </c:pt>
                <c:pt idx="9">
                  <c:v>1.5360140957101251</c:v>
                </c:pt>
                <c:pt idx="12">
                  <c:v>0.40853026310104978</c:v>
                </c:pt>
                <c:pt idx="13">
                  <c:v>2.030897884933887</c:v>
                </c:pt>
                <c:pt idx="14">
                  <c:v>1.4155088524226223</c:v>
                </c:pt>
                <c:pt idx="15">
                  <c:v>0.49330482828550215</c:v>
                </c:pt>
                <c:pt idx="18">
                  <c:v>0.49368567659000029</c:v>
                </c:pt>
                <c:pt idx="21">
                  <c:v>2.5613099602666494</c:v>
                </c:pt>
                <c:pt idx="22">
                  <c:v>0.82399626517273583</c:v>
                </c:pt>
                <c:pt idx="23">
                  <c:v>0.79276411938553482</c:v>
                </c:pt>
                <c:pt idx="24">
                  <c:v>1.5083483793180827</c:v>
                </c:pt>
                <c:pt idx="25">
                  <c:v>1.3518271958313246</c:v>
                </c:pt>
                <c:pt idx="26">
                  <c:v>0.79775058553888767</c:v>
                </c:pt>
                <c:pt idx="27">
                  <c:v>0.13384898336831177</c:v>
                </c:pt>
                <c:pt idx="28">
                  <c:v>1.1929895251406417</c:v>
                </c:pt>
                <c:pt idx="29">
                  <c:v>1.0270964740236046</c:v>
                </c:pt>
                <c:pt idx="30">
                  <c:v>2.1957273099359429</c:v>
                </c:pt>
                <c:pt idx="31">
                  <c:v>1.1977520469471172</c:v>
                </c:pt>
                <c:pt idx="32">
                  <c:v>0.93425921410179946</c:v>
                </c:pt>
                <c:pt idx="34">
                  <c:v>0.8579359667792068</c:v>
                </c:pt>
                <c:pt idx="36">
                  <c:v>1.3996440338592655</c:v>
                </c:pt>
                <c:pt idx="37">
                  <c:v>0.55909089912689314</c:v>
                </c:pt>
                <c:pt idx="39">
                  <c:v>0.76934224964286457</c:v>
                </c:pt>
                <c:pt idx="40">
                  <c:v>0.25476106728305109</c:v>
                </c:pt>
                <c:pt idx="41">
                  <c:v>1.9550134393662595</c:v>
                </c:pt>
                <c:pt idx="42">
                  <c:v>2.0532267735346532</c:v>
                </c:pt>
                <c:pt idx="43">
                  <c:v>0.15587030088601936</c:v>
                </c:pt>
                <c:pt idx="44">
                  <c:v>0.42326681465162957</c:v>
                </c:pt>
                <c:pt idx="45">
                  <c:v>2.2793271986925188</c:v>
                </c:pt>
                <c:pt idx="47">
                  <c:v>0.13328244153687349</c:v>
                </c:pt>
                <c:pt idx="48">
                  <c:v>0.25602502356985496</c:v>
                </c:pt>
                <c:pt idx="49">
                  <c:v>0.69518301910098546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2-4CCC-9624-51E7A5918F05}"/>
            </c:ext>
          </c:extLst>
        </c:ser>
        <c:ser>
          <c:idx val="2"/>
          <c:order val="2"/>
          <c:tx>
            <c:strRef>
              <c:f>'Follower Retention (Task 6)'!$D$3:$D$4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'Follower Retention (Task 6)'!$A$5:$A$94</c:f>
              <c:strCache>
                <c:ptCount val="89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6/3/2024</c:v>
                </c:pt>
                <c:pt idx="51">
                  <c:v>6/4/2024</c:v>
                </c:pt>
                <c:pt idx="52">
                  <c:v>6/5/2024</c:v>
                </c:pt>
                <c:pt idx="53">
                  <c:v>6/6/2024</c:v>
                </c:pt>
                <c:pt idx="54">
                  <c:v>6/7/2024</c:v>
                </c:pt>
                <c:pt idx="55">
                  <c:v>6/8/2024</c:v>
                </c:pt>
                <c:pt idx="56">
                  <c:v>6/9/2024</c:v>
                </c:pt>
                <c:pt idx="57">
                  <c:v>6/10/2024</c:v>
                </c:pt>
                <c:pt idx="58">
                  <c:v>6/11/2024</c:v>
                </c:pt>
                <c:pt idx="59">
                  <c:v>6/12/2024</c:v>
                </c:pt>
                <c:pt idx="60">
                  <c:v>6/13/2024</c:v>
                </c:pt>
                <c:pt idx="61">
                  <c:v>6/14/2024</c:v>
                </c:pt>
                <c:pt idx="62">
                  <c:v>6/15/2024</c:v>
                </c:pt>
                <c:pt idx="63">
                  <c:v>6/16/2024</c:v>
                </c:pt>
                <c:pt idx="64">
                  <c:v>6/17/2024</c:v>
                </c:pt>
                <c:pt idx="65">
                  <c:v>6/18/2024</c:v>
                </c:pt>
                <c:pt idx="66">
                  <c:v>6/19/2024</c:v>
                </c:pt>
                <c:pt idx="67">
                  <c:v>6/20/2024</c:v>
                </c:pt>
                <c:pt idx="68">
                  <c:v>6/21/2024</c:v>
                </c:pt>
                <c:pt idx="69">
                  <c:v>6/22/2024</c:v>
                </c:pt>
                <c:pt idx="70">
                  <c:v>6/23/2024</c:v>
                </c:pt>
                <c:pt idx="71">
                  <c:v>6/24/2024</c:v>
                </c:pt>
                <c:pt idx="72">
                  <c:v>6/25/2024</c:v>
                </c:pt>
                <c:pt idx="73">
                  <c:v>6/26/2024</c:v>
                </c:pt>
                <c:pt idx="74">
                  <c:v>6/27/2024</c:v>
                </c:pt>
                <c:pt idx="75">
                  <c:v>6/28/2024</c:v>
                </c:pt>
                <c:pt idx="76">
                  <c:v>6/29/2024</c:v>
                </c:pt>
                <c:pt idx="77">
                  <c:v>6/30/2024</c:v>
                </c:pt>
                <c:pt idx="78">
                  <c:v>7/1/2024</c:v>
                </c:pt>
                <c:pt idx="79">
                  <c:v>7/2/2024</c:v>
                </c:pt>
                <c:pt idx="80">
                  <c:v>7/3/2024</c:v>
                </c:pt>
                <c:pt idx="81">
                  <c:v>7/4/2024</c:v>
                </c:pt>
                <c:pt idx="82">
                  <c:v>7/5/2024</c:v>
                </c:pt>
                <c:pt idx="83">
                  <c:v>7/6/2024</c:v>
                </c:pt>
                <c:pt idx="84">
                  <c:v>7/7/2024</c:v>
                </c:pt>
                <c:pt idx="85">
                  <c:v>7/8/2024</c:v>
                </c:pt>
                <c:pt idx="86">
                  <c:v>7/9/2024</c:v>
                </c:pt>
                <c:pt idx="87">
                  <c:v>7/10/2024</c:v>
                </c:pt>
                <c:pt idx="88">
                  <c:v>7/11/2024</c:v>
                </c:pt>
              </c:strCache>
            </c:strRef>
          </c:cat>
          <c:val>
            <c:numRef>
              <c:f>'Follower Retention (Task 6)'!$D$5:$D$94</c:f>
              <c:numCache>
                <c:formatCode>0.000</c:formatCode>
                <c:ptCount val="89"/>
                <c:pt idx="0">
                  <c:v>7.161509775769197</c:v>
                </c:pt>
                <c:pt idx="1">
                  <c:v>5.8166347339363584</c:v>
                </c:pt>
                <c:pt idx="2">
                  <c:v>3.8505677891413099</c:v>
                </c:pt>
                <c:pt idx="3">
                  <c:v>8.1526992002405372</c:v>
                </c:pt>
                <c:pt idx="4">
                  <c:v>4.0250166460572627</c:v>
                </c:pt>
                <c:pt idx="5">
                  <c:v>3.1831596565339124</c:v>
                </c:pt>
                <c:pt idx="6">
                  <c:v>2.873977776517024</c:v>
                </c:pt>
                <c:pt idx="7">
                  <c:v>2.9236958116252163</c:v>
                </c:pt>
                <c:pt idx="8">
                  <c:v>2.0112234193129401</c:v>
                </c:pt>
                <c:pt idx="9">
                  <c:v>1.1298248561468354</c:v>
                </c:pt>
                <c:pt idx="10">
                  <c:v>3.8684332470851284</c:v>
                </c:pt>
                <c:pt idx="12">
                  <c:v>1.5470668118806556</c:v>
                </c:pt>
                <c:pt idx="13">
                  <c:v>1.6542549454519908</c:v>
                </c:pt>
                <c:pt idx="15">
                  <c:v>0.87212144374427847</c:v>
                </c:pt>
                <c:pt idx="16">
                  <c:v>1.0854715497511456</c:v>
                </c:pt>
                <c:pt idx="17">
                  <c:v>1.767142867841101</c:v>
                </c:pt>
                <c:pt idx="19">
                  <c:v>3.146623474532154</c:v>
                </c:pt>
                <c:pt idx="22">
                  <c:v>1.4673861356899378</c:v>
                </c:pt>
                <c:pt idx="23">
                  <c:v>1.5894099135776132</c:v>
                </c:pt>
                <c:pt idx="24">
                  <c:v>1.0115222268699853</c:v>
                </c:pt>
                <c:pt idx="27">
                  <c:v>0.95690195428711389</c:v>
                </c:pt>
                <c:pt idx="28">
                  <c:v>0.86756829248734246</c:v>
                </c:pt>
                <c:pt idx="30">
                  <c:v>0.40011175580058084</c:v>
                </c:pt>
                <c:pt idx="31">
                  <c:v>1.1729257848755981</c:v>
                </c:pt>
                <c:pt idx="32">
                  <c:v>0.90684528695987088</c:v>
                </c:pt>
                <c:pt idx="33">
                  <c:v>2.4435265953037346</c:v>
                </c:pt>
                <c:pt idx="34">
                  <c:v>1.3765859151032891</c:v>
                </c:pt>
                <c:pt idx="35">
                  <c:v>1.8260235119848793</c:v>
                </c:pt>
                <c:pt idx="36">
                  <c:v>0.11290842130781159</c:v>
                </c:pt>
                <c:pt idx="37">
                  <c:v>0.14158957900698507</c:v>
                </c:pt>
                <c:pt idx="39">
                  <c:v>0.64892204201554116</c:v>
                </c:pt>
                <c:pt idx="40">
                  <c:v>0.89030372186352424</c:v>
                </c:pt>
                <c:pt idx="43">
                  <c:v>0.59675306202254763</c:v>
                </c:pt>
                <c:pt idx="44">
                  <c:v>0.77197612525333514</c:v>
                </c:pt>
                <c:pt idx="46">
                  <c:v>0.62778011507819675</c:v>
                </c:pt>
                <c:pt idx="47">
                  <c:v>1.3968730071139484</c:v>
                </c:pt>
                <c:pt idx="49">
                  <c:v>0.63072431511787486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02-4CCC-9624-51E7A5918F05}"/>
            </c:ext>
          </c:extLst>
        </c:ser>
        <c:ser>
          <c:idx val="3"/>
          <c:order val="3"/>
          <c:tx>
            <c:strRef>
              <c:f>'Follower Retention (Task 6)'!$E$3:$E$4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'Follower Retention (Task 6)'!$A$5:$A$94</c:f>
              <c:strCache>
                <c:ptCount val="89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6/3/2024</c:v>
                </c:pt>
                <c:pt idx="51">
                  <c:v>6/4/2024</c:v>
                </c:pt>
                <c:pt idx="52">
                  <c:v>6/5/2024</c:v>
                </c:pt>
                <c:pt idx="53">
                  <c:v>6/6/2024</c:v>
                </c:pt>
                <c:pt idx="54">
                  <c:v>6/7/2024</c:v>
                </c:pt>
                <c:pt idx="55">
                  <c:v>6/8/2024</c:v>
                </c:pt>
                <c:pt idx="56">
                  <c:v>6/9/2024</c:v>
                </c:pt>
                <c:pt idx="57">
                  <c:v>6/10/2024</c:v>
                </c:pt>
                <c:pt idx="58">
                  <c:v>6/11/2024</c:v>
                </c:pt>
                <c:pt idx="59">
                  <c:v>6/12/2024</c:v>
                </c:pt>
                <c:pt idx="60">
                  <c:v>6/13/2024</c:v>
                </c:pt>
                <c:pt idx="61">
                  <c:v>6/14/2024</c:v>
                </c:pt>
                <c:pt idx="62">
                  <c:v>6/15/2024</c:v>
                </c:pt>
                <c:pt idx="63">
                  <c:v>6/16/2024</c:v>
                </c:pt>
                <c:pt idx="64">
                  <c:v>6/17/2024</c:v>
                </c:pt>
                <c:pt idx="65">
                  <c:v>6/18/2024</c:v>
                </c:pt>
                <c:pt idx="66">
                  <c:v>6/19/2024</c:v>
                </c:pt>
                <c:pt idx="67">
                  <c:v>6/20/2024</c:v>
                </c:pt>
                <c:pt idx="68">
                  <c:v>6/21/2024</c:v>
                </c:pt>
                <c:pt idx="69">
                  <c:v>6/22/2024</c:v>
                </c:pt>
                <c:pt idx="70">
                  <c:v>6/23/2024</c:v>
                </c:pt>
                <c:pt idx="71">
                  <c:v>6/24/2024</c:v>
                </c:pt>
                <c:pt idx="72">
                  <c:v>6/25/2024</c:v>
                </c:pt>
                <c:pt idx="73">
                  <c:v>6/26/2024</c:v>
                </c:pt>
                <c:pt idx="74">
                  <c:v>6/27/2024</c:v>
                </c:pt>
                <c:pt idx="75">
                  <c:v>6/28/2024</c:v>
                </c:pt>
                <c:pt idx="76">
                  <c:v>6/29/2024</c:v>
                </c:pt>
                <c:pt idx="77">
                  <c:v>6/30/2024</c:v>
                </c:pt>
                <c:pt idx="78">
                  <c:v>7/1/2024</c:v>
                </c:pt>
                <c:pt idx="79">
                  <c:v>7/2/2024</c:v>
                </c:pt>
                <c:pt idx="80">
                  <c:v>7/3/2024</c:v>
                </c:pt>
                <c:pt idx="81">
                  <c:v>7/4/2024</c:v>
                </c:pt>
                <c:pt idx="82">
                  <c:v>7/5/2024</c:v>
                </c:pt>
                <c:pt idx="83">
                  <c:v>7/6/2024</c:v>
                </c:pt>
                <c:pt idx="84">
                  <c:v>7/7/2024</c:v>
                </c:pt>
                <c:pt idx="85">
                  <c:v>7/8/2024</c:v>
                </c:pt>
                <c:pt idx="86">
                  <c:v>7/9/2024</c:v>
                </c:pt>
                <c:pt idx="87">
                  <c:v>7/10/2024</c:v>
                </c:pt>
                <c:pt idx="88">
                  <c:v>7/11/2024</c:v>
                </c:pt>
              </c:strCache>
            </c:strRef>
          </c:cat>
          <c:val>
            <c:numRef>
              <c:f>'Follower Retention (Task 6)'!$E$5:$E$94</c:f>
              <c:numCache>
                <c:formatCode>0.000</c:formatCode>
                <c:ptCount val="89"/>
                <c:pt idx="38">
                  <c:v>0.95718007649765269</c:v>
                </c:pt>
                <c:pt idx="40">
                  <c:v>0.35854946318438319</c:v>
                </c:pt>
                <c:pt idx="50">
                  <c:v>7.3042649425855828</c:v>
                </c:pt>
                <c:pt idx="51">
                  <c:v>5.563243018048178</c:v>
                </c:pt>
                <c:pt idx="52">
                  <c:v>3.2412446779276309</c:v>
                </c:pt>
                <c:pt idx="53">
                  <c:v>0.81242372545636943</c:v>
                </c:pt>
                <c:pt idx="54">
                  <c:v>1.1606360757361365</c:v>
                </c:pt>
                <c:pt idx="55">
                  <c:v>1.3743718397611502</c:v>
                </c:pt>
                <c:pt idx="56">
                  <c:v>0.46521180084291736</c:v>
                </c:pt>
                <c:pt idx="57">
                  <c:v>2.1116822598272944</c:v>
                </c:pt>
                <c:pt idx="58">
                  <c:v>0.83103714317204891</c:v>
                </c:pt>
                <c:pt idx="59">
                  <c:v>1.2582840584885981</c:v>
                </c:pt>
                <c:pt idx="60">
                  <c:v>1.1901769418245007</c:v>
                </c:pt>
                <c:pt idx="61">
                  <c:v>0.12246041445693515</c:v>
                </c:pt>
                <c:pt idx="62">
                  <c:v>0.51214672601490852</c:v>
                </c:pt>
                <c:pt idx="63">
                  <c:v>0.56926683531685662</c:v>
                </c:pt>
                <c:pt idx="64">
                  <c:v>6.5958837528910932</c:v>
                </c:pt>
                <c:pt idx="65">
                  <c:v>0.67367300672511499</c:v>
                </c:pt>
                <c:pt idx="66">
                  <c:v>0.68018710115333603</c:v>
                </c:pt>
                <c:pt idx="67">
                  <c:v>1.145256762332987</c:v>
                </c:pt>
                <c:pt idx="68">
                  <c:v>0.71929976601091949</c:v>
                </c:pt>
                <c:pt idx="69">
                  <c:v>1.6472653889566635</c:v>
                </c:pt>
                <c:pt idx="70">
                  <c:v>0.98837899370933457</c:v>
                </c:pt>
                <c:pt idx="71">
                  <c:v>0.76687711178244133</c:v>
                </c:pt>
                <c:pt idx="72">
                  <c:v>0.43790546535943353</c:v>
                </c:pt>
                <c:pt idx="73">
                  <c:v>1.08937401207798</c:v>
                </c:pt>
                <c:pt idx="74">
                  <c:v>0.98110671380338355</c:v>
                </c:pt>
                <c:pt idx="75">
                  <c:v>1.3795791265703257</c:v>
                </c:pt>
                <c:pt idx="76">
                  <c:v>0.60319805596597942</c:v>
                </c:pt>
                <c:pt idx="77">
                  <c:v>0.91275193396322052</c:v>
                </c:pt>
                <c:pt idx="78">
                  <c:v>0.45195289627203922</c:v>
                </c:pt>
                <c:pt idx="79">
                  <c:v>0.58032837980224639</c:v>
                </c:pt>
                <c:pt idx="80">
                  <c:v>0.14735462248723694</c:v>
                </c:pt>
                <c:pt idx="81">
                  <c:v>1.0556191541330575</c:v>
                </c:pt>
                <c:pt idx="82">
                  <c:v>2.1667684542466805</c:v>
                </c:pt>
                <c:pt idx="83">
                  <c:v>0.40376020364396237</c:v>
                </c:pt>
                <c:pt idx="84">
                  <c:v>1.2837118161608889</c:v>
                </c:pt>
                <c:pt idx="85">
                  <c:v>4.560571323161251</c:v>
                </c:pt>
                <c:pt idx="86">
                  <c:v>0.69116906697908775</c:v>
                </c:pt>
                <c:pt idx="87">
                  <c:v>1.4324454111465779</c:v>
                </c:pt>
                <c:pt idx="88">
                  <c:v>0.84098327377711035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02-4CCC-9624-51E7A591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323335"/>
        <c:axId val="1260378119"/>
      </c:lineChart>
      <c:catAx>
        <c:axId val="1260323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78119"/>
        <c:crosses val="autoZero"/>
        <c:auto val="1"/>
        <c:lblAlgn val="ctr"/>
        <c:lblOffset val="100"/>
        <c:noMultiLvlLbl val="0"/>
      </c:catAx>
      <c:valAx>
        <c:axId val="1260378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2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838200</xdr:colOff>
      <xdr:row>12</xdr:row>
      <xdr:rowOff>57150</xdr:rowOff>
    </xdr:from>
    <xdr:to>
      <xdr:col>9</xdr:col>
      <xdr:colOff>161925</xdr:colOff>
      <xdr:row>32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A76FC8-1C57-280D-244D-71178D3F2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9</xdr:row>
      <xdr:rowOff>66675</xdr:rowOff>
    </xdr:from>
    <xdr:to>
      <xdr:col>22</xdr:col>
      <xdr:colOff>323850</xdr:colOff>
      <xdr:row>38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55AEE-5347-E0F6-CE3F-2D10D2317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516554282411" createdVersion="8" refreshedVersion="8" minRefreshableVersion="3" recordCount="200" xr:uid="{EE20E136-1699-40DA-89B8-497451E88AC1}">
  <cacheSource type="worksheet">
    <worksheetSource name="Table1"/>
  </cacheSource>
  <cacheFields count="8">
    <cacheField name="Week_Start_Date" numFmtId="0">
      <sharedItems containsDate="1" containsMixedTypes="1" minDate="2024-06-03T00:00:00" maxDate="2024-07-12T00:00:00" count="89">
        <s v="2024-06-17"/>
        <s v="2024-06-03"/>
        <s v="2024-08-12"/>
        <s v="2024-06-10"/>
        <s v="2024-09-02"/>
        <s v="2024-09-09"/>
        <s v="2024-09-23"/>
        <s v="2024-08-05"/>
        <s v="2024-10-21"/>
        <s v="2024-09-30"/>
        <s v="2024-07-01"/>
        <s v="2024-11-25"/>
        <s v="2024-12-30"/>
        <s v="2024-06-24"/>
        <s v="2025-02-17"/>
        <s v="2025-01-13"/>
        <s v="2024-07-15"/>
        <s v="2024-08-19"/>
        <s v="2024-10-07"/>
        <s v="2025-04-07"/>
        <s v="2025-03-17"/>
        <s v="2025-04-21"/>
        <s v="2024-12-09"/>
        <s v="2024-12-16"/>
        <s v="2025-01-27"/>
        <s v="2025-02-24"/>
        <s v="2025-05-12"/>
        <s v="2024-12-02"/>
        <s v="2025-03-31"/>
        <s v="2025-05-05"/>
        <s v="2025-03-10"/>
        <s v="2024-08-26"/>
        <s v="2024-11-18"/>
        <s v="2024-12-23"/>
        <s v="2024-07-22"/>
        <s v="2024-07-08"/>
        <s v="2024-07-29"/>
        <s v="2024-11-04"/>
        <s v="2024-10-28"/>
        <s v="2025-02-10"/>
        <s v="2025-03-24"/>
        <s v="2025-04-14"/>
        <s v="2024-11-11"/>
        <s v="2025-04-28"/>
        <s v="2025-03-03"/>
        <s v="2024-09-16"/>
        <s v="2025-01-06"/>
        <s v="2024-10-14"/>
        <s v="2025-01-20"/>
        <s v="2025-02-03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</sharedItems>
    </cacheField>
    <cacheField name="Platform" numFmtId="0">
      <sharedItems count="4">
        <s v="Instagram"/>
        <s v="LinkedIn"/>
        <s v="Twitter"/>
        <s v="YouTube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Follower_Growth_Rate" numFmtId="0">
      <sharedItems containsSemiMixedTypes="0" containsString="0" containsNumber="1" minValue="7.752530207087184E-2" maxValue="7.3042649425855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547865856483" createdVersion="8" refreshedVersion="8" minRefreshableVersion="3" recordCount="300" xr:uid="{E9BA1F16-8BEB-413B-BCCB-0F5C3F76B99D}">
  <cacheSource type="worksheet">
    <worksheetSource ref="A1:M301" sheet="Posts"/>
  </cacheSource>
  <cacheFields count="13">
    <cacheField name="PostID" numFmtId="0">
      <sharedItems/>
    </cacheField>
    <cacheField name="Platform" numFmtId="0">
      <sharedItems count="4">
        <s v="Instagram"/>
        <s v="LinkedIn"/>
        <s v="Twitter"/>
        <s v="YouTube"/>
      </sharedItems>
    </cacheField>
    <cacheField name="Date" numFmtId="0">
      <sharedItems containsDate="1" containsMixedTypes="1" minDate="2025-02-27T00:00:00" maxDate="2025-10-16T00:00:00" count="211">
        <s v="2024-08-15"/>
        <s v="2025-01-11"/>
        <s v="2025-01-14"/>
        <s v="2024-07-15"/>
        <s v="2024-10-15"/>
        <d v="2025-10-02T00:00:00"/>
        <d v="2025-09-13T00:00:00"/>
        <s v="2024-07-29"/>
        <s v="2024-11-28"/>
        <s v="2024-08-24"/>
        <s v="2024-12-08"/>
        <s v="2024-09-08"/>
        <d v="2025-09-21T00:00:00"/>
        <s v="2024-08-01"/>
        <s v="2025-03-04"/>
        <s v="2025-01-30"/>
        <d v="2025-09-14T00:00:00"/>
        <s v="2024-12-21"/>
        <s v="2024-07-07"/>
        <s v="2025-01-28"/>
        <s v="2024-06-24"/>
        <d v="2025-09-25T00:00:00"/>
        <s v="2025-03-29"/>
        <s v="2025-04-19"/>
        <s v="2024-07-31"/>
        <d v="2025-09-22T00:00:00"/>
        <s v="2025-01-10"/>
        <d v="2025-10-05T00:00:00"/>
        <s v="2025-05-12"/>
        <s v="2025-01-01"/>
        <d v="2025-09-20T00:00:00"/>
        <s v="2025-02-16"/>
        <s v="2024-10-02"/>
        <s v="2024-07-18"/>
        <s v="2024-08-20"/>
        <s v="2024-08-17"/>
        <s v="2025-05-01"/>
        <s v="2025-04-03"/>
        <s v="2024-07-13"/>
        <s v="2024-11-04"/>
        <s v="2024-08-14"/>
        <s v="2024-06-12"/>
        <s v="2025-04-06"/>
        <s v="2025-04-28"/>
        <s v="2024-07-03"/>
        <s v="2024-11-06"/>
        <s v="2025-04-01"/>
        <s v="2024-09-02"/>
        <s v="2024-06-11"/>
        <s v="2025-02-19"/>
        <s v="2024-06-16"/>
        <s v="2025-04-17"/>
        <s v="2025-02-06"/>
        <s v="2024-10-21"/>
        <s v="2025-05-14"/>
        <s v="2024-12-16"/>
        <d v="2025-02-27T00:00:00"/>
        <s v="2024-10-27"/>
        <s v="2024-08-26"/>
        <s v="2025-04-15"/>
        <d v="2025-10-01T00:00:00"/>
        <s v="2025-02-17"/>
        <s v="2025-03-25"/>
        <s v="2024-08-05"/>
        <d v="2025-10-12T00:00:00"/>
        <s v="2024-08-27"/>
        <s v="2024-09-11"/>
        <s v="2024-07-24"/>
        <s v="2024-06-22"/>
        <s v="2025-02-27"/>
        <s v="2024-06-13"/>
        <s v="2024-08-22"/>
        <d v="2025-09-05T00:00:00"/>
        <s v="2025-02-07"/>
        <s v="2025-05-02"/>
        <s v="2025-04-08"/>
        <d v="2025-09-26T00:00:00"/>
        <s v="2025-03-28"/>
        <s v="2024-07-21"/>
        <s v="2025-02-24"/>
        <d v="2025-09-24T00:00:00"/>
        <s v="2025-03-02"/>
        <s v="2024-06-07"/>
        <d v="2025-09-28T00:00:00"/>
        <s v="2025-03-23"/>
        <s v="2025-04-29"/>
        <d v="2025-09-07T00:00:00"/>
        <s v="2024-12-09"/>
        <d v="2025-09-23T00:00:00"/>
        <s v="2025-01-23"/>
        <s v="2024-10-28"/>
        <s v="2024-06-01"/>
        <s v="2024-06-10"/>
        <s v="2024-06-23"/>
        <s v="2024-12-22"/>
        <s v="2024-10-03"/>
        <d v="2025-09-11T00:00:00"/>
        <s v="2025-04-13"/>
        <s v="2025-03-27"/>
        <d v="2025-09-19T00:00:00"/>
        <s v="2025-02-11"/>
        <s v="2025-03-06"/>
        <d v="2025-09-16T00:00:00"/>
        <s v="2024-12-18"/>
        <d v="2025-09-03T00:00:00"/>
        <d v="2025-09-10T00:00:00"/>
        <s v="2025-02-10"/>
        <d v="2025-09-09T00:00:00"/>
        <d v="2025-10-08T00:00:00"/>
        <s v="2024-10-04"/>
        <s v="2025-03-18"/>
        <s v="2025-03-08"/>
        <s v="2025-05-05"/>
        <s v="2024-08-19"/>
        <d v="2025-09-17T00:00:00"/>
        <s v="2025-01-06"/>
        <s v="2024-11-23"/>
        <s v="2025-03-13"/>
        <d v="2025-09-29T00:00:00"/>
        <s v="2025-02-25"/>
        <s v="2024-12-31"/>
        <s v="2024-09-29"/>
        <s v="2024-08-12"/>
        <s v="2024-12-29"/>
        <d v="2025-10-03T00:00:00"/>
        <s v="2025-03-22"/>
        <s v="2024-10-12"/>
        <s v="2024-06-17"/>
        <s v="2025-01-27"/>
        <s v="2024-06-14"/>
        <d v="2025-09-08T00:00:00"/>
        <s v="2025-02-04"/>
        <s v="2024-11-12"/>
        <d v="2025-09-18T00:00:00"/>
        <s v="2024-11-07"/>
        <d v="2025-09-15T00:00:00"/>
        <s v="2024-10-11"/>
        <s v="2024-12-11"/>
        <s v="2024-08-13"/>
        <s v="2024-08-11"/>
        <s v="2025-03-03"/>
        <s v="2024-06-19"/>
        <s v="2024-10-17"/>
        <s v="2024-08-08"/>
        <s v="2024-07-26"/>
        <s v="2024-07-01"/>
        <s v="2024-06-21"/>
        <s v="2024-11-08"/>
        <s v="2024-09-17"/>
        <s v="2024-06-20"/>
        <s v="2024-12-17"/>
        <s v="2025-01-18"/>
        <s v="2024-10-22"/>
        <d v="2025-10-07T00:00:00"/>
        <s v="2025-03-11"/>
        <d v="2025-09-27T00:00:00"/>
        <s v="2024-11-14"/>
        <s v="2024-11-30"/>
        <s v="2025-04-05"/>
        <s v="2024-07-16"/>
        <s v="2024-11-25"/>
        <s v="2024-12-24"/>
        <d v="2025-09-12T00:00:00"/>
        <d v="2025-10-09T00:00:00"/>
        <s v="2024-11-26"/>
        <s v="2025-03-19"/>
        <s v="2024-07-02"/>
        <s v="2025-05-06"/>
        <s v="2024-09-10"/>
        <s v="2024-06-06"/>
        <s v="2025-05-09"/>
        <s v="2024-06-03"/>
        <s v="2025-04-02"/>
        <s v="2025-01-15"/>
        <s v="2024-11-18"/>
        <d v="2025-09-04T00:00:00"/>
        <s v="2024-06-02"/>
        <s v="2024-09-05"/>
        <s v="2025-03-05"/>
        <s v="2025-02-12"/>
        <d v="2025-10-04T00:00:00"/>
        <s v="2024-10-29"/>
        <s v="2025-03-24"/>
        <s v="2024-11-21"/>
        <d v="2025-10-13T00:00:00"/>
        <s v="2025-02-20"/>
        <s v="2024-12-23"/>
        <s v="2024-07-23"/>
        <d v="2025-10-06T00:00:00"/>
        <s v="2024-06-05"/>
        <d v="2025-10-11T00:00:00"/>
        <d v="2025-10-14T00:00:00"/>
        <s v="2024-10-18"/>
        <s v="2025-02-02"/>
        <s v="2024-10-05"/>
        <s v="2024-07-10"/>
        <d v="2025-10-15T00:00:00"/>
        <d v="2025-09-30T00:00:00"/>
        <s v="2024-10-08"/>
        <s v="2024-10-09"/>
        <s v="2024-12-03"/>
        <s v="2024-10-19"/>
        <s v="2024-09-09"/>
        <s v="2024-11-05"/>
        <s v="2024-08-30"/>
        <s v="2025-04-07"/>
        <d v="2025-09-06T00:00:00"/>
        <d v="2025-10-10T00:00:00"/>
        <s v="2024-11-17"/>
        <s v="2024-12-05"/>
        <s v="2025-01-12"/>
      </sharedItems>
    </cacheField>
    <cacheField name="ContentType" numFmtId="0">
      <sharedItems count="4">
        <s v="Video"/>
        <s v="Image"/>
        <s v="Carousel"/>
        <s v="Tweet"/>
      </sharedItems>
    </cacheField>
    <cacheField name="Hashtags" numFmtId="0">
      <sharedItems count="12">
        <s v="#AppleEvent #iPadPro"/>
        <s v="#MacBookAirM3 #AppleInnovation"/>
        <s v="#AppleEvent #iPhone16"/>
        <s v="#AppleMusic #AppleLifestyle"/>
        <s v="#ShotOniPhone"/>
        <s v="#AppleDesign #Innovation"/>
        <s v="#iPhonePhotography #ShotOniPhone"/>
        <s v="#AppleWatchUltra2 #HealthTech"/>
        <s v="#AppleWatch #Health"/>
        <s v="#MacBookProM3"/>
        <s v="#iPhone16Launch #AppleEvent"/>
        <s v="#Sustainability 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3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iPhone 16 Launch"/>
        <s v="Apple Event September 2025"/>
        <s v="Sustainability Awareness Drive"/>
        <s v="MacBook Air M3 Campaign"/>
      </sharedItems>
    </cacheField>
    <cacheField name="Engagement" numFmtId="167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2.57106898148" createdVersion="8" refreshedVersion="8" minRefreshableVersion="3" recordCount="300" xr:uid="{2B5C251D-F4A9-4DF0-97A4-F9E29BDFC603}">
  <cacheSource type="worksheet">
    <worksheetSource ref="A1:N301" sheet="Posts (Hashtags Separated)"/>
  </cacheSource>
  <cacheFields count="14">
    <cacheField name="PostID" numFmtId="0">
      <sharedItems/>
    </cacheField>
    <cacheField name="Platform" numFmtId="0">
      <sharedItems count="4">
        <s v="Instagram"/>
        <s v="LinkedIn"/>
        <s v="Twitter"/>
        <s v="YouTube"/>
      </sharedItems>
    </cacheField>
    <cacheField name="Date" numFmtId="0">
      <sharedItems containsDate="1" containsMixedTypes="1" minDate="2025-02-27T00:00:00" maxDate="2025-10-16T00:00:00"/>
    </cacheField>
    <cacheField name="ContentType" numFmtId="0">
      <sharedItems count="4">
        <s v="Video"/>
        <s v="Image"/>
        <s v="Carousel"/>
        <s v="Tweet"/>
      </sharedItems>
    </cacheField>
    <cacheField name="Hashtag 1" numFmtId="0">
      <sharedItems count="11">
        <s v="#AppleEvent"/>
        <s v="#MacBookAirM3"/>
        <s v="#AppleMusic"/>
        <s v="#ShotOniPhone"/>
        <s v="#AppleDesign"/>
        <s v="#iPhonePhotography"/>
        <s v="#AppleWatchUltra2"/>
        <s v="#AppleWatch"/>
        <s v="#MacBookProM3"/>
        <s v="#iPhone16Launch"/>
        <s v="#Sustainability"/>
      </sharedItems>
    </cacheField>
    <cacheField name="Hashtag 2" numFmtId="0">
      <sharedItems containsBlank="1" count="11">
        <s v="#iPadPro"/>
        <s v="#AppleInnovation"/>
        <s v="#iPhone16"/>
        <s v="#AppleLifestyle"/>
        <m/>
        <s v="#Innovation"/>
        <s v="#ShotOniPhone"/>
        <s v="#HealthTech"/>
        <s v="#Health"/>
        <s v="#AppleEvent"/>
        <s v="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3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  <cacheField name="Engagement" numFmtId="167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6656"/>
    <n v="978"/>
    <n v="176196"/>
    <n v="60.425889350496043"/>
    <n v="27081"/>
    <n v="3.3298537397811376"/>
  </r>
  <r>
    <x v="1"/>
    <x v="0"/>
    <n v="4138"/>
    <n v="361"/>
    <n v="103777"/>
    <n v="56.637790647253247"/>
    <n v="23944"/>
    <n v="3.7769999999999997"/>
  </r>
  <r>
    <x v="2"/>
    <x v="0"/>
    <n v="7610"/>
    <n v="757"/>
    <n v="333052"/>
    <n v="44.450416151231643"/>
    <n v="39750"/>
    <n v="2.1008648095181162"/>
  </r>
  <r>
    <x v="3"/>
    <x v="0"/>
    <n v="7721"/>
    <n v="506"/>
    <n v="134418"/>
    <n v="35.577824398518047"/>
    <n v="25379"/>
    <n v="5.6720360368859222"/>
  </r>
  <r>
    <x v="4"/>
    <x v="0"/>
    <n v="2179"/>
    <n v="303"/>
    <n v="398548"/>
    <n v="33.909842729106657"/>
    <n v="54848"/>
    <n v="0.47293481768312357"/>
  </r>
  <r>
    <x v="5"/>
    <x v="0"/>
    <n v="7907"/>
    <n v="465"/>
    <n v="420811"/>
    <n v="33.257448118038738"/>
    <n v="22693"/>
    <n v="1.8003285200389967"/>
  </r>
  <r>
    <x v="6"/>
    <x v="0"/>
    <n v="1419"/>
    <n v="110"/>
    <n v="455286"/>
    <n v="31.554451487636339"/>
    <n v="58831"/>
    <n v="0.28834059875280027"/>
  </r>
  <r>
    <x v="4"/>
    <x v="0"/>
    <n v="6448"/>
    <n v="928"/>
    <n v="396672"/>
    <n v="30.118586640851881"/>
    <n v="53922"/>
    <n v="1.4112161001349859"/>
  </r>
  <r>
    <x v="7"/>
    <x v="0"/>
    <n v="3494"/>
    <n v="281"/>
    <n v="309517"/>
    <n v="27.765518533715429"/>
    <n v="39197"/>
    <n v="1.0489578980359382"/>
  </r>
  <r>
    <x v="8"/>
    <x v="0"/>
    <n v="8638"/>
    <n v="717"/>
    <n v="553745"/>
    <n v="26.921416897669499"/>
    <n v="31621"/>
    <n v="1.451200386937914"/>
  </r>
  <r>
    <x v="9"/>
    <x v="0"/>
    <n v="8870"/>
    <n v="509"/>
    <n v="480320"/>
    <n v="25.077864756828781"/>
    <n v="15469"/>
    <n v="1.7715521899148019"/>
  </r>
  <r>
    <x v="6"/>
    <x v="0"/>
    <n v="8857"/>
    <n v="1153"/>
    <n v="471959"/>
    <n v="19.214592793018038"/>
    <n v="39411"/>
    <n v="1.6594328547888553"/>
  </r>
  <r>
    <x v="10"/>
    <x v="0"/>
    <n v="2960"/>
    <n v="234"/>
    <n v="224651"/>
    <n v="17.41278694508371"/>
    <n v="59378"/>
    <n v="1.2283429086403064"/>
  </r>
  <r>
    <x v="11"/>
    <x v="0"/>
    <n v="6827"/>
    <n v="775"/>
    <n v="661697"/>
    <n v="15.96622018839439"/>
    <n v="56850"/>
    <n v="0.92306049767785914"/>
  </r>
  <r>
    <x v="6"/>
    <x v="0"/>
    <n v="4302"/>
    <n v="275"/>
    <n v="464255"/>
    <n v="15.72131694865968"/>
    <n v="26044"/>
    <n v="0.87500108641803631"/>
  </r>
  <r>
    <x v="11"/>
    <x v="0"/>
    <n v="8961"/>
    <n v="476"/>
    <n v="655645"/>
    <n v="15.458517947974901"/>
    <n v="44865"/>
    <n v="1.3111131713950182"/>
  </r>
  <r>
    <x v="12"/>
    <x v="0"/>
    <n v="4897"/>
    <n v="683"/>
    <n v="761158"/>
    <n v="15.06231294947961"/>
    <n v="58201"/>
    <n v="0.55671225348242404"/>
  </r>
  <r>
    <x v="13"/>
    <x v="0"/>
    <n v="5259"/>
    <n v="374"/>
    <n v="189735"/>
    <n v="14.827522597306769"/>
    <n v="19596"/>
    <n v="2.642683256694617"/>
  </r>
  <r>
    <x v="14"/>
    <x v="0"/>
    <n v="6330"/>
    <n v="891"/>
    <n v="922914"/>
    <n v="14.789893749580139"/>
    <n v="37037"/>
    <n v="0.59282269271642285"/>
  </r>
  <r>
    <x v="15"/>
    <x v="0"/>
    <n v="3247"/>
    <n v="328"/>
    <n v="810061"/>
    <n v="13.941172331466399"/>
    <n v="15105"/>
    <n v="0.36164640174839124"/>
  </r>
  <r>
    <x v="16"/>
    <x v="0"/>
    <n v="3964"/>
    <n v="378"/>
    <n v="246766"/>
    <n v="13.6355899921383"/>
    <n v="23109"/>
    <n v="1.4746278476848425"/>
  </r>
  <r>
    <x v="17"/>
    <x v="0"/>
    <n v="7488"/>
    <n v="568"/>
    <n v="354010"/>
    <n v="13.47730290104799"/>
    <n v="46727"/>
    <n v="1.993719208274511"/>
  </r>
  <r>
    <x v="9"/>
    <x v="0"/>
    <n v="1767"/>
    <n v="224"/>
    <n v="487561"/>
    <n v="13.208603641390511"/>
    <n v="16256"/>
    <n v="0.31747795349143448"/>
  </r>
  <r>
    <x v="18"/>
    <x v="0"/>
    <n v="5481"/>
    <n v="673"/>
    <n v="507970"/>
    <n v="13.08758391243577"/>
    <n v="29194"/>
    <n v="0.95555705717045403"/>
  </r>
  <r>
    <x v="10"/>
    <x v="0"/>
    <n v="3530"/>
    <n v="328"/>
    <n v="221925"/>
    <n v="12.8372197814577"/>
    <n v="11013"/>
    <n v="1.4639521220904981"/>
  </r>
  <r>
    <x v="19"/>
    <x v="0"/>
    <n v="1521"/>
    <n v="96"/>
    <n v="1087368"/>
    <n v="12.709772588488899"/>
    <n v="42262"/>
    <n v="0.13122235697453735"/>
  </r>
  <r>
    <x v="20"/>
    <x v="0"/>
    <n v="9569"/>
    <n v="1277"/>
    <n v="1013386"/>
    <n v="12.45517502708741"/>
    <n v="59733"/>
    <n v="0.82499746292386578"/>
  </r>
  <r>
    <x v="21"/>
    <x v="0"/>
    <n v="5941"/>
    <n v="450"/>
    <n v="1117854"/>
    <n v="12.414411899944"/>
    <n v="58330"/>
    <n v="0.49363382277188295"/>
  </r>
  <r>
    <x v="22"/>
    <x v="0"/>
    <n v="3672"/>
    <n v="211"/>
    <n v="704218"/>
    <n v="12.35057894004413"/>
    <n v="28284"/>
    <n v="0.49389445984842106"/>
  </r>
  <r>
    <x v="0"/>
    <x v="0"/>
    <n v="8373"/>
    <n v="921"/>
    <n v="157717"/>
    <n v="12.2263294381709"/>
    <n v="15110"/>
    <n v="4.9592386783349411"/>
  </r>
  <r>
    <x v="16"/>
    <x v="0"/>
    <n v="1536"/>
    <n v="155"/>
    <n v="257065"/>
    <n v="12.15762550327738"/>
    <n v="36661"/>
    <n v="0.54011983542184883"/>
  </r>
  <r>
    <x v="23"/>
    <x v="0"/>
    <n v="4191"/>
    <n v="599"/>
    <n v="713549"/>
    <n v="11.56416728213479"/>
    <n v="27833"/>
    <n v="0.50594613476590833"/>
  </r>
  <r>
    <x v="24"/>
    <x v="0"/>
    <n v="4271"/>
    <n v="628"/>
    <n v="868909"/>
    <n v="11.124410036033691"/>
    <n v="47051"/>
    <n v="0.42102659760120009"/>
  </r>
  <r>
    <x v="21"/>
    <x v="0"/>
    <n v="3461"/>
    <n v="365"/>
    <n v="1134433"/>
    <n v="10.23489267325616"/>
    <n v="51903"/>
    <n v="0.27365851200835828"/>
  </r>
  <r>
    <x v="25"/>
    <x v="0"/>
    <n v="6439"/>
    <n v="477"/>
    <n v="959389"/>
    <n v="7.4744446725989153"/>
    <n v="44742"/>
    <n v="0.62532317628932266"/>
  </r>
  <r>
    <x v="26"/>
    <x v="0"/>
    <n v="3196"/>
    <n v="391"/>
    <n v="1170816"/>
    <n v="7.2439221876024931"/>
    <n v="28745"/>
    <n v="0.24015184788499425"/>
  </r>
  <r>
    <x v="27"/>
    <x v="0"/>
    <n v="8394"/>
    <n v="764"/>
    <n v="690186"/>
    <n v="6.3556780346167558"/>
    <n v="42373"/>
    <n v="1.1178569963490177"/>
  </r>
  <r>
    <x v="23"/>
    <x v="0"/>
    <n v="1392"/>
    <n v="182"/>
    <n v="714759"/>
    <n v="5.9603306848881932"/>
    <n v="35122"/>
    <n v="0.16957489955139732"/>
  </r>
  <r>
    <x v="17"/>
    <x v="0"/>
    <n v="7525"/>
    <n v="610"/>
    <n v="365996"/>
    <n v="5.7694619613329108"/>
    <n v="53543"/>
    <n v="1.9257493434628954"/>
  </r>
  <r>
    <x v="28"/>
    <x v="0"/>
    <n v="6607"/>
    <n v="479"/>
    <n v="1063421"/>
    <n v="5.5892257158735816"/>
    <n v="48328"/>
    <n v="0.57959335775418919"/>
  </r>
  <r>
    <x v="27"/>
    <x v="0"/>
    <n v="1593"/>
    <n v="224"/>
    <n v="677154"/>
    <n v="4.1495730660972248"/>
    <n v="52845"/>
    <n v="0.20257922268177006"/>
  </r>
  <r>
    <x v="29"/>
    <x v="0"/>
    <n v="8697"/>
    <n v="738"/>
    <n v="1168011"/>
    <n v="3.8777032065622672"/>
    <n v="30644"/>
    <n v="0.68608993389951478"/>
  </r>
  <r>
    <x v="30"/>
    <x v="0"/>
    <n v="3376"/>
    <n v="382"/>
    <n v="991495"/>
    <n v="3.8694093263203548"/>
    <n v="44782"/>
    <n v="0.30288284989089542"/>
  </r>
  <r>
    <x v="31"/>
    <x v="0"/>
    <n v="9648"/>
    <n v="1417"/>
    <n v="385849"/>
    <n v="3.6633501706626168"/>
    <n v="24226"/>
    <n v="2.179716009300404"/>
  </r>
  <r>
    <x v="8"/>
    <x v="0"/>
    <n v="8993"/>
    <n v="506"/>
    <n v="562232"/>
    <n v="3.5131404829323132"/>
    <n v="20028"/>
    <n v="1.5326549223920758"/>
  </r>
  <r>
    <x v="8"/>
    <x v="0"/>
    <n v="8758"/>
    <n v="1193"/>
    <n v="538906"/>
    <n v="3.4213758985797149"/>
    <n v="26184"/>
    <n v="1.4237561189518597"/>
  </r>
  <r>
    <x v="25"/>
    <x v="0"/>
    <n v="9754"/>
    <n v="629"/>
    <n v="938068"/>
    <n v="3.4123325814333292"/>
    <n v="19435"/>
    <n v="0.9822992368745983"/>
  </r>
  <r>
    <x v="14"/>
    <x v="0"/>
    <n v="6510"/>
    <n v="481"/>
    <n v="928943"/>
    <n v="2.3800168578696428"/>
    <n v="19557"/>
    <n v="0.65325696652125775"/>
  </r>
  <r>
    <x v="21"/>
    <x v="0"/>
    <n v="7267"/>
    <n v="842"/>
    <n v="1124279"/>
    <n v="2.2102165031989389"/>
    <n v="11171"/>
    <n v="0.5747619993308607"/>
  </r>
  <r>
    <x v="32"/>
    <x v="0"/>
    <n v="5798"/>
    <n v="592"/>
    <n v="631128"/>
    <n v="1.6774727155188811"/>
    <n v="13471"/>
    <n v="0.83173302743792354"/>
  </r>
  <r>
    <x v="33"/>
    <x v="0"/>
    <n v="4631"/>
    <n v="317"/>
    <n v="735242"/>
    <n v="1.381177897889402"/>
    <n v="17999"/>
    <n v="0.59020861151850801"/>
  </r>
  <r>
    <x v="34"/>
    <x v="1"/>
    <n v="8967"/>
    <n v="993"/>
    <n v="280201"/>
    <n v="52.792102811910027"/>
    <n v="47804"/>
    <n v="2.9291730798194155"/>
  </r>
  <r>
    <x v="35"/>
    <x v="1"/>
    <n v="3529"/>
    <n v="305"/>
    <n v="243180"/>
    <n v="41.606628834608109"/>
    <n v="48356"/>
    <n v="1.3435796562703162"/>
  </r>
  <r>
    <x v="35"/>
    <x v="1"/>
    <n v="2048"/>
    <n v="130"/>
    <n v="233720"/>
    <n v="39.284614068115687"/>
    <n v="11828"/>
    <n v="0.8274303068998542"/>
  </r>
  <r>
    <x v="31"/>
    <x v="1"/>
    <n v="1689"/>
    <n v="176"/>
    <n v="371865"/>
    <n v="38.012181840183942"/>
    <n v="26029"/>
    <n v="0.40853026310104978"/>
  </r>
  <r>
    <x v="34"/>
    <x v="1"/>
    <n v="8340"/>
    <n v="911"/>
    <n v="264494"/>
    <n v="37.302925586213682"/>
    <n v="48659"/>
    <n v="2.8899305623091438"/>
  </r>
  <r>
    <x v="36"/>
    <x v="1"/>
    <n v="1845"/>
    <n v="104"/>
    <n v="291024"/>
    <n v="28.158158777282971"/>
    <n v="37766"/>
    <n v="0.60183280732016742"/>
  </r>
  <r>
    <x v="36"/>
    <x v="1"/>
    <n v="6777"/>
    <n v="981"/>
    <n v="296820"/>
    <n v="23.920557913887201"/>
    <n v="53590"/>
    <n v="1.9915883226125679"/>
  </r>
  <r>
    <x v="37"/>
    <x v="1"/>
    <n v="5268"/>
    <n v="326"/>
    <n v="604702"/>
    <n v="23.435841125050029"/>
    <n v="44501"/>
    <n v="0.82399626517273583"/>
  </r>
  <r>
    <x v="22"/>
    <x v="1"/>
    <n v="1016"/>
    <n v="67"/>
    <n v="709957"/>
    <n v="20.774215903216671"/>
    <n v="33284"/>
    <n v="0.13384898336831177"/>
  </r>
  <r>
    <x v="32"/>
    <x v="1"/>
    <n v="6887"/>
    <n v="418"/>
    <n v="647160"/>
    <n v="20.240280610668151"/>
    <n v="18329"/>
    <n v="1.0096910991413959"/>
  </r>
  <r>
    <x v="33"/>
    <x v="1"/>
    <n v="1571"/>
    <n v="204"/>
    <n v="730928"/>
    <n v="19.449384891535139"/>
    <n v="39252"/>
    <n v="0.18737295442053509"/>
  </r>
  <r>
    <x v="23"/>
    <x v="1"/>
    <n v="9616"/>
    <n v="1089"/>
    <n v="723286"/>
    <n v="19.25863351426683"/>
    <n v="15017"/>
    <n v="1.1929895251406417"/>
  </r>
  <r>
    <x v="33"/>
    <x v="1"/>
    <n v="7172"/>
    <n v="998"/>
    <n v="741416"/>
    <n v="18.0667803230575"/>
    <n v="32436"/>
    <n v="0.83972351960306946"/>
  </r>
  <r>
    <x v="10"/>
    <x v="1"/>
    <n v="5917"/>
    <n v="475"/>
    <n v="210260"/>
    <n v="17.894035955483691"/>
    <n v="28313"/>
    <n v="2.656993037721294"/>
  </r>
  <r>
    <x v="5"/>
    <x v="1"/>
    <n v="6671"/>
    <n v="550"/>
    <n v="438545"/>
    <n v="17.750287883797562"/>
    <n v="10541"/>
    <n v="1.4155088524226223"/>
  </r>
  <r>
    <x v="38"/>
    <x v="1"/>
    <n v="7356"/>
    <n v="904"/>
    <n v="581126"/>
    <n v="17.560907617280929"/>
    <n v="44051"/>
    <n v="1.1227234919275972"/>
  </r>
  <r>
    <x v="27"/>
    <x v="1"/>
    <n v="5839"/>
    <n v="437"/>
    <n v="682556"/>
    <n v="17.44750613869045"/>
    <n v="16397"/>
    <n v="0.79775058553888767"/>
  </r>
  <r>
    <x v="39"/>
    <x v="1"/>
    <n v="2668"/>
    <n v="143"/>
    <n v="903387"/>
    <n v="15.903372530266649"/>
    <n v="33252"/>
    <n v="0.28028710279709879"/>
  </r>
  <r>
    <x v="15"/>
    <x v="1"/>
    <n v="7869"/>
    <n v="398"/>
    <n v="807142"/>
    <n v="15.211945357818079"/>
    <n v="25078"/>
    <n v="0.93425921410179946"/>
  </r>
  <r>
    <x v="39"/>
    <x v="1"/>
    <n v="3711"/>
    <n v="291"/>
    <n v="900862"/>
    <n v="14.24879726306582"/>
    <n v="55603"/>
    <n v="0.38108312292047841"/>
  </r>
  <r>
    <x v="40"/>
    <x v="1"/>
    <n v="3196"/>
    <n v="348"/>
    <n v="1037497"/>
    <n v="14.03040201562029"/>
    <n v="40314"/>
    <n v="0.27526243199384526"/>
  </r>
  <r>
    <x v="28"/>
    <x v="1"/>
    <n v="1780"/>
    <n v="120"/>
    <n v="1066648"/>
    <n v="13.86474263299608"/>
    <n v="57299"/>
    <n v="0.15587030088601936"/>
  </r>
  <r>
    <x v="18"/>
    <x v="1"/>
    <n v="2549"/>
    <n v="128"/>
    <n v="492814"/>
    <n v="12.734216154573531"/>
    <n v="43937"/>
    <n v="0.49368567659000029"/>
  </r>
  <r>
    <x v="32"/>
    <x v="1"/>
    <n v="3355"/>
    <n v="176"/>
    <n v="640691"/>
    <n v="12.426427091999111"/>
    <n v="40268"/>
    <n v="0.49865728017668687"/>
  </r>
  <r>
    <x v="41"/>
    <x v="1"/>
    <n v="5583"/>
    <n v="795"/>
    <n v="1106373"/>
    <n v="12.21550055903389"/>
    <n v="59823"/>
    <n v="0.4346464412641784"/>
  </r>
  <r>
    <x v="12"/>
    <x v="1"/>
    <n v="9433"/>
    <n v="1233"/>
    <n v="756944"/>
    <n v="11.391727789638329"/>
    <n v="12096"/>
    <n v="1.0951673736283696"/>
  </r>
  <r>
    <x v="29"/>
    <x v="1"/>
    <n v="1038"/>
    <n v="145"/>
    <n v="1152775"/>
    <n v="11.093752033137431"/>
    <n v="55951"/>
    <n v="7.752530207087184E-2"/>
  </r>
  <r>
    <x v="39"/>
    <x v="1"/>
    <n v="7420"/>
    <n v="743"/>
    <n v="911084"/>
    <n v="10.593534734448189"/>
    <n v="11431"/>
    <n v="0.73827380814168841"/>
  </r>
  <r>
    <x v="4"/>
    <x v="1"/>
    <n v="9591"/>
    <n v="1363"/>
    <n v="413369"/>
    <n v="10.494255737609739"/>
    <n v="15997"/>
    <n v="2.030897884933887"/>
  </r>
  <r>
    <x v="20"/>
    <x v="1"/>
    <n v="7979"/>
    <n v="470"/>
    <n v="1005094"/>
    <n v="10.43086517280971"/>
    <n v="42972"/>
    <n v="0.75271781351964995"/>
  </r>
  <r>
    <x v="35"/>
    <x v="1"/>
    <n v="6772"/>
    <n v="536"/>
    <n v="239956"/>
    <n v="9.8205504342462788"/>
    <n v="17909"/>
    <n v="2.6681499229847678"/>
  </r>
  <r>
    <x v="41"/>
    <x v="1"/>
    <n v="8569"/>
    <n v="720"/>
    <n v="1095217"/>
    <n v="9.589697749395782"/>
    <n v="41358"/>
    <n v="0.72183474223997768"/>
  </r>
  <r>
    <x v="41"/>
    <x v="1"/>
    <n v="6784"/>
    <n v="416"/>
    <n v="1101585"/>
    <n v="9.3041390360253633"/>
    <n v="24289"/>
    <n v="0.58143728594424671"/>
  </r>
  <r>
    <x v="0"/>
    <x v="1"/>
    <n v="7097"/>
    <n v="369"/>
    <n v="170518"/>
    <n v="9.2506362964613711"/>
    <n v="33762"/>
    <n v="4.1076988827156731"/>
  </r>
  <r>
    <x v="26"/>
    <x v="1"/>
    <n v="8165"/>
    <n v="1140"/>
    <n v="1177841"/>
    <n v="9.095964565675672"/>
    <n v="38228"/>
    <n v="0.60000888269377939"/>
  </r>
  <r>
    <x v="42"/>
    <x v="1"/>
    <n v="5592"/>
    <n v="710"/>
    <n v="620702"/>
    <n v="9.07118069540617"/>
    <n v="24472"/>
    <n v="0.79276411938553482"/>
  </r>
  <r>
    <x v="43"/>
    <x v="1"/>
    <n v="1685"/>
    <n v="173"/>
    <n v="1135945"/>
    <n v="8.7776256772995165"/>
    <n v="49110"/>
    <n v="0.13328244153687349"/>
  </r>
  <r>
    <x v="20"/>
    <x v="1"/>
    <n v="5285"/>
    <n v="433"/>
    <n v="1018238"/>
    <n v="8.7022876773406619"/>
    <n v="51800"/>
    <n v="0.47879090494638765"/>
  </r>
  <r>
    <x v="38"/>
    <x v="1"/>
    <n v="9433"/>
    <n v="1073"/>
    <n v="589486"/>
    <n v="7.2934726185185053"/>
    <n v="59811"/>
    <n v="1.4385864683390521"/>
  </r>
  <r>
    <x v="19"/>
    <x v="1"/>
    <n v="4983"/>
    <n v="441"/>
    <n v="1077624"/>
    <n v="6.8954477628560609"/>
    <n v="46768"/>
    <n v="0.42326681465162957"/>
  </r>
  <r>
    <x v="44"/>
    <x v="1"/>
    <n v="8504"/>
    <n v="1072"/>
    <n v="973452"/>
    <n v="6.5651927367759271"/>
    <n v="18461"/>
    <n v="0.76934224964286457"/>
  </r>
  <r>
    <x v="40"/>
    <x v="1"/>
    <n v="9561"/>
    <n v="517"/>
    <n v="1034649"/>
    <n v="6.4086467971263694"/>
    <n v="15347"/>
    <n v="0.88182097396171044"/>
  </r>
  <r>
    <x v="12"/>
    <x v="1"/>
    <n v="9123"/>
    <n v="746"/>
    <n v="769535"/>
    <n v="6.3086149427901264"/>
    <n v="35279"/>
    <n v="1.1005599363075733"/>
  </r>
  <r>
    <x v="20"/>
    <x v="1"/>
    <n v="7910"/>
    <n v="543"/>
    <n v="1025605"/>
    <n v="6.0590578244060822"/>
    <n v="40508"/>
    <n v="0.72350472090022178"/>
  </r>
  <r>
    <x v="11"/>
    <x v="1"/>
    <n v="9737"/>
    <n v="792"/>
    <n v="670642"/>
    <n v="5.301785453341723"/>
    <n v="56698"/>
    <n v="1.3518271958313246"/>
  </r>
  <r>
    <x v="26"/>
    <x v="1"/>
    <n v="1301"/>
    <n v="180"/>
    <n v="1178962"/>
    <n v="5.2275645864752214"/>
    <n v="44521"/>
    <n v="9.5174136407206067E-2"/>
  </r>
  <r>
    <x v="7"/>
    <x v="1"/>
    <n v="5349"/>
    <n v="502"/>
    <n v="320404"/>
    <n v="5.2152906954969351"/>
    <n v="58868"/>
    <n v="1.5360140957101251"/>
  </r>
  <r>
    <x v="45"/>
    <x v="1"/>
    <n v="2382"/>
    <n v="183"/>
    <n v="447968"/>
    <n v="4.7335970426459033"/>
    <n v="47861"/>
    <n v="0.49330482828550215"/>
  </r>
  <r>
    <x v="24"/>
    <x v="1"/>
    <n v="8083"/>
    <n v="823"/>
    <n v="853477"/>
    <n v="4.6300017457998282"/>
    <n v="27069"/>
    <n v="0.8579359667792068"/>
  </r>
  <r>
    <x v="40"/>
    <x v="1"/>
    <n v="9843"/>
    <n v="508"/>
    <n v="1051021"/>
    <n v="4.2080986012648651"/>
    <n v="50785"/>
    <n v="0.89614336757909763"/>
  </r>
  <r>
    <x v="46"/>
    <x v="1"/>
    <n v="9980"/>
    <n v="726"/>
    <n v="781868"/>
    <n v="4.0220344099003924"/>
    <n v="58709"/>
    <n v="1.1977520469471172"/>
  </r>
  <r>
    <x v="29"/>
    <x v="1"/>
    <n v="2256"/>
    <n v="189"/>
    <n v="1160052"/>
    <n v="2.8935771844710412"/>
    <n v="15432"/>
    <n v="0.17849972149898313"/>
  </r>
  <r>
    <x v="14"/>
    <x v="1"/>
    <n v="5531"/>
    <n v="430"/>
    <n v="917475"/>
    <n v="2.7289026948963189"/>
    <n v="47481"/>
    <n v="0.55909089912689314"/>
  </r>
  <r>
    <x v="30"/>
    <x v="1"/>
    <n v="2827"/>
    <n v="292"/>
    <n v="997585"/>
    <n v="2.4004972007397871"/>
    <n v="17896"/>
    <n v="0.25476106728305109"/>
  </r>
  <r>
    <x v="41"/>
    <x v="1"/>
    <n v="6946"/>
    <n v="956"/>
    <n v="1112363"/>
    <n v="1.64146056637986"/>
    <n v="17927"/>
    <n v="0.54140872924411565"/>
  </r>
  <r>
    <x v="1"/>
    <x v="2"/>
    <n v="8693"/>
    <n v="1261"/>
    <n v="111209"/>
    <n v="69.475492091467416"/>
    <n v="29873"/>
    <n v="7.161509775769197"/>
  </r>
  <r>
    <x v="13"/>
    <x v="2"/>
    <n v="6901"/>
    <n v="471"/>
    <n v="204818"/>
    <n v="60.827661631301943"/>
    <n v="52003"/>
    <n v="3.241123455047684"/>
  </r>
  <r>
    <x v="13"/>
    <x v="2"/>
    <n v="9984"/>
    <n v="1330"/>
    <n v="184850"/>
    <n v="57.524479307546663"/>
    <n v="44947"/>
    <n v="4.9115757451928532"/>
  </r>
  <r>
    <x v="0"/>
    <x v="2"/>
    <n v="6907"/>
    <n v="834"/>
    <n v="163790"/>
    <n v="54.158984064961238"/>
    <n v="22087"/>
    <n v="3.8505677891413099"/>
  </r>
  <r>
    <x v="3"/>
    <x v="2"/>
    <n v="3978"/>
    <n v="543"/>
    <n v="150265"/>
    <n v="49.159817655475329"/>
    <n v="34286"/>
    <n v="2.3394401689028128"/>
  </r>
  <r>
    <x v="35"/>
    <x v="2"/>
    <n v="8045"/>
    <n v="894"/>
    <n v="231802"/>
    <n v="47.634187798207087"/>
    <n v="33705"/>
    <n v="3.1831596565339124"/>
  </r>
  <r>
    <x v="34"/>
    <x v="2"/>
    <n v="8179"/>
    <n v="446"/>
    <n v="272227"/>
    <n v="41.82171496581897"/>
    <n v="43848"/>
    <n v="2.9236958116252163"/>
  </r>
  <r>
    <x v="31"/>
    <x v="2"/>
    <n v="6175"/>
    <n v="422"/>
    <n v="377618"/>
    <n v="37.86101298137271"/>
    <n v="59745"/>
    <n v="1.5470668118806556"/>
  </r>
  <r>
    <x v="6"/>
    <x v="2"/>
    <n v="5517"/>
    <n v="575"/>
    <n v="460228"/>
    <n v="29.45844233727631"/>
    <n v="20258"/>
    <n v="1.0854715497511456"/>
  </r>
  <r>
    <x v="47"/>
    <x v="2"/>
    <n v="3293"/>
    <n v="282"/>
    <n v="525863"/>
    <n v="27.040693108281051"/>
    <n v="19518"/>
    <n v="0.57587998133314966"/>
  </r>
  <r>
    <x v="2"/>
    <x v="2"/>
    <n v="8154"/>
    <n v="1149"/>
    <n v="347090"/>
    <n v="26.003918292085629"/>
    <n v="37523"/>
    <n v="2.0597791728538453"/>
  </r>
  <r>
    <x v="4"/>
    <x v="2"/>
    <n v="7406"/>
    <n v="813"/>
    <n v="405141"/>
    <n v="24.457411123534769"/>
    <n v="13390"/>
    <n v="1.6542549454519908"/>
  </r>
  <r>
    <x v="9"/>
    <x v="2"/>
    <n v="6693"/>
    <n v="995"/>
    <n v="486018"/>
    <n v="23.761877132122681"/>
    <n v="38854"/>
    <n v="1.186292471685543"/>
  </r>
  <r>
    <x v="42"/>
    <x v="2"/>
    <n v="1163"/>
    <n v="146"/>
    <n v="607188"/>
    <n v="21.77776899411715"/>
    <n v="28509"/>
    <n v="0.16777443988577481"/>
  </r>
  <r>
    <x v="7"/>
    <x v="2"/>
    <n v="3719"/>
    <n v="222"/>
    <n v="313014"/>
    <n v="21.669318305251519"/>
    <n v="13586"/>
    <n v="1.1298248561468354"/>
  </r>
  <r>
    <x v="16"/>
    <x v="2"/>
    <n v="8137"/>
    <n v="1045"/>
    <n v="253858"/>
    <n v="20.47246886054408"/>
    <n v="12023"/>
    <n v="2.873977776517024"/>
  </r>
  <r>
    <x v="3"/>
    <x v="2"/>
    <n v="5225"/>
    <n v="291"/>
    <n v="146830"/>
    <n v="19.551862698358651"/>
    <n v="44546"/>
    <n v="3.4771945650335456"/>
  </r>
  <r>
    <x v="37"/>
    <x v="2"/>
    <n v="8380"/>
    <n v="1162"/>
    <n v="596704"/>
    <n v="18.05853488496809"/>
    <n v="40447"/>
    <n v="1.2244565604611475"/>
  </r>
  <r>
    <x v="24"/>
    <x v="2"/>
    <n v="5940"/>
    <n v="512"/>
    <n v="865266"/>
    <n v="15.7972230504839"/>
    <n v="17531"/>
    <n v="0.63128170655402527"/>
  </r>
  <r>
    <x v="37"/>
    <x v="2"/>
    <n v="1671"/>
    <n v="202"/>
    <n v="606171"/>
    <n v="15.150015424690389"/>
    <n v="40254"/>
    <n v="0.24292957522879041"/>
  </r>
  <r>
    <x v="2"/>
    <x v="2"/>
    <n v="6179"/>
    <n v="384"/>
    <n v="326199"/>
    <n v="14.71218489327067"/>
    <n v="33225"/>
    <n v="1.8086540742312831"/>
  </r>
  <r>
    <x v="15"/>
    <x v="2"/>
    <n v="8088"/>
    <n v="742"/>
    <n v="817407"/>
    <n v="14.664542877660701"/>
    <n v="39312"/>
    <n v="0.90684528695987088"/>
  </r>
  <r>
    <x v="36"/>
    <x v="2"/>
    <n v="6947"/>
    <n v="908"/>
    <n v="306304"/>
    <n v="14.117673944839121"/>
    <n v="46060"/>
    <n v="2.0112234193129401"/>
  </r>
  <r>
    <x v="22"/>
    <x v="2"/>
    <n v="7164"/>
    <n v="522"/>
    <n v="700757"/>
    <n v="13.449169969047761"/>
    <n v="34570"/>
    <n v="0.95690195428711389"/>
  </r>
  <r>
    <x v="23"/>
    <x v="2"/>
    <n v="7272"/>
    <n v="997"/>
    <n v="729561"/>
    <n v="13.428486445958599"/>
    <n v="26370"/>
    <n v="0.86756829248734246"/>
  </r>
  <r>
    <x v="48"/>
    <x v="2"/>
    <n v="4926"/>
    <n v="710"/>
    <n v="838563"/>
    <n v="12.96217457722318"/>
    <n v="52821"/>
    <n v="0.50530534657642445"/>
  </r>
  <r>
    <x v="46"/>
    <x v="2"/>
    <n v="8451"/>
    <n v="783"/>
    <n v="789536"/>
    <n v="12.407287318121019"/>
    <n v="36201"/>
    <n v="0.98072820476090594"/>
  </r>
  <r>
    <x v="43"/>
    <x v="2"/>
    <n v="8031"/>
    <n v="476"/>
    <n v="1146426"/>
    <n v="11.940413075069831"/>
    <n v="12539"/>
    <n v="0.66337627352000361"/>
  </r>
  <r>
    <x v="14"/>
    <x v="2"/>
    <n v="1365"/>
    <n v="75"/>
    <n v="912374"/>
    <n v="9.2688963078737441"/>
    <n v="19067"/>
    <n v="0.14158957900698507"/>
  </r>
  <r>
    <x v="42"/>
    <x v="2"/>
    <n v="9656"/>
    <n v="1024"/>
    <n v="615820"/>
    <n v="8.7252768666168681"/>
    <n v="58998"/>
    <n v="1.4216354736918384"/>
  </r>
  <r>
    <x v="9"/>
    <x v="2"/>
    <n v="3044"/>
    <n v="212"/>
    <n v="490393"/>
    <n v="8.5343795690395261"/>
    <n v="20720"/>
    <n v="0.580850396155558"/>
  </r>
  <r>
    <x v="46"/>
    <x v="2"/>
    <n v="1775"/>
    <n v="241"/>
    <n v="799671"/>
    <n v="8.1379717408784362"/>
    <n v="39309"/>
    <n v="0.1921975801146921"/>
  </r>
  <r>
    <x v="21"/>
    <x v="2"/>
    <n v="8128"/>
    <n v="1070"/>
    <n v="1131337"/>
    <n v="8.1114645768679008"/>
    <n v="21918"/>
    <n v="0.62778011507819675"/>
  </r>
  <r>
    <x v="10"/>
    <x v="2"/>
    <n v="9429"/>
    <n v="966"/>
    <n v="218723"/>
    <n v="7.6914636320825887"/>
    <n v="57639"/>
    <n v="4.0250166460572627"/>
  </r>
  <r>
    <x v="49"/>
    <x v="2"/>
    <n v="8650"/>
    <n v="692"/>
    <n v="897442"/>
    <n v="7.6673478620345374"/>
    <n v="23975"/>
    <n v="0.89467601440835365"/>
  </r>
  <r>
    <x v="48"/>
    <x v="2"/>
    <n v="8099"/>
    <n v="678"/>
    <n v="834347"/>
    <n v="7.6464588474579518"/>
    <n v="53619"/>
    <n v="0.89742008353830938"/>
  </r>
  <r>
    <x v="48"/>
    <x v="2"/>
    <n v="9080"/>
    <n v="562"/>
    <n v="826926"/>
    <n v="7.1083748727213809"/>
    <n v="13384"/>
    <n v="1.040801165189001"/>
  </r>
  <r>
    <x v="24"/>
    <x v="2"/>
    <n v="7230"/>
    <n v="869"/>
    <n v="859838"/>
    <n v="7.0117859410726204"/>
    <n v="56907"/>
    <n v="0.74530420854926382"/>
  </r>
  <r>
    <x v="47"/>
    <x v="2"/>
    <n v="5837"/>
    <n v="359"/>
    <n v="531341"/>
    <n v="6.8073045370110723"/>
    <n v="56026"/>
    <n v="1.0417161884369122"/>
  </r>
  <r>
    <x v="43"/>
    <x v="2"/>
    <n v="6341"/>
    <n v="885"/>
    <n v="1151882"/>
    <n v="6.3457020771224837"/>
    <n v="46727"/>
    <n v="0.47591384005596526"/>
  </r>
  <r>
    <x v="43"/>
    <x v="2"/>
    <n v="3160"/>
    <n v="234"/>
    <n v="1138871"/>
    <n v="5.6959041015180816"/>
    <n v="21929"/>
    <n v="0.25758289353797942"/>
  </r>
  <r>
    <x v="19"/>
    <x v="2"/>
    <n v="9714"/>
    <n v="1395"/>
    <n v="1085943"/>
    <n v="5.2243073531483697"/>
    <n v="40682"/>
    <n v="0.77197612525333514"/>
  </r>
  <r>
    <x v="28"/>
    <x v="2"/>
    <n v="6978"/>
    <n v="706"/>
    <n v="1057293"/>
    <n v="5.057443868445171"/>
    <n v="28681"/>
    <n v="0.59675306202254763"/>
  </r>
  <r>
    <x v="12"/>
    <x v="2"/>
    <n v="3279"/>
    <n v="200"/>
    <n v="772614"/>
    <n v="5.0212654702089274"/>
    <n v="53363"/>
    <n v="0.40011175580058084"/>
  </r>
  <r>
    <x v="49"/>
    <x v="2"/>
    <n v="8788"/>
    <n v="660"/>
    <n v="880842"/>
    <n v="3.7175793161543158"/>
    <n v="17710"/>
    <n v="0.93134749757652568"/>
  </r>
  <r>
    <x v="32"/>
    <x v="2"/>
    <n v="7036"/>
    <n v="652"/>
    <n v="637512"/>
    <n v="3.5705994553828009"/>
    <n v="51796"/>
    <n v="1.0115222268699853"/>
  </r>
  <r>
    <x v="45"/>
    <x v="2"/>
    <n v="4292"/>
    <n v="367"/>
    <n v="453977"/>
    <n v="3.5037017293827661"/>
    <n v="53934"/>
    <n v="0.87212144374427847"/>
  </r>
  <r>
    <x v="44"/>
    <x v="2"/>
    <n v="2246"/>
    <n v="165"/>
    <n v="975533"/>
    <n v="2.9062061457685191"/>
    <n v="27015"/>
    <n v="0.21377530684615165"/>
  </r>
  <r>
    <x v="44"/>
    <x v="2"/>
    <n v="4839"/>
    <n v="594"/>
    <n v="979778"/>
    <n v="2.5803804535313102"/>
    <n v="42591"/>
    <n v="0.43514673516938951"/>
  </r>
  <r>
    <x v="47"/>
    <x v="2"/>
    <n v="8898"/>
    <n v="1131"/>
    <n v="515737"/>
    <n v="2.1877429775253669"/>
    <n v="35051"/>
    <n v="1.5290273047620924"/>
  </r>
  <r>
    <x v="26"/>
    <x v="2"/>
    <n v="8527"/>
    <n v="1091"/>
    <n v="1186398"/>
    <n v="1.676081719625286"/>
    <n v="41703"/>
    <n v="0.63072431511787486"/>
  </r>
  <r>
    <x v="30"/>
    <x v="2"/>
    <n v="9551"/>
    <n v="828"/>
    <n v="988501"/>
    <n v="1.525036393488727"/>
    <n v="38047"/>
    <n v="0.89030372186352424"/>
  </r>
  <r>
    <x v="39"/>
    <x v="2"/>
    <n v="1147"/>
    <n v="127"/>
    <n v="904407"/>
    <n v="1.3997016829812241"/>
    <n v="25261"/>
    <n v="0.11290842130781159"/>
  </r>
  <r>
    <x v="50"/>
    <x v="3"/>
    <n v="9264"/>
    <n v="1141"/>
    <n v="119332"/>
    <n v="92.312204605638044"/>
    <n v="50372"/>
    <n v="7.3042649425855828"/>
  </r>
  <r>
    <x v="51"/>
    <x v="3"/>
    <n v="8002"/>
    <n v="524"/>
    <n v="141896"/>
    <n v="52.064892597395271"/>
    <n v="46751"/>
    <n v="5.563243018048178"/>
  </r>
  <r>
    <x v="52"/>
    <x v="3"/>
    <n v="9734"/>
    <n v="652"/>
    <n v="289283"/>
    <n v="49.647922622483861"/>
    <n v="25379"/>
    <n v="3.2412446779276309"/>
  </r>
  <r>
    <x v="53"/>
    <x v="3"/>
    <n v="2884"/>
    <n v="341"/>
    <n v="315557"/>
    <n v="46.999749649033298"/>
    <n v="26087"/>
    <n v="0.81242372545636943"/>
  </r>
  <r>
    <x v="54"/>
    <x v="3"/>
    <n v="4036"/>
    <n v="591"/>
    <n v="300265"/>
    <n v="44.219272975538267"/>
    <n v="12563"/>
    <n v="1.1606360757361365"/>
  </r>
  <r>
    <x v="55"/>
    <x v="3"/>
    <n v="6078"/>
    <n v="775"/>
    <n v="391152"/>
    <n v="37.760512537325639"/>
    <n v="38731"/>
    <n v="1.3743718397611502"/>
  </r>
  <r>
    <x v="56"/>
    <x v="3"/>
    <n v="2403"/>
    <n v="319"/>
    <n v="450052"/>
    <n v="29.92120910472568"/>
    <n v="23428"/>
    <n v="0.46521180084291736"/>
  </r>
  <r>
    <x v="57"/>
    <x v="3"/>
    <n v="7430"/>
    <n v="397"/>
    <n v="340085"/>
    <n v="28.065042562888689"/>
    <n v="16643"/>
    <n v="2.1116822598272944"/>
  </r>
  <r>
    <x v="58"/>
    <x v="3"/>
    <n v="4716"/>
    <n v="569"/>
    <n v="503162"/>
    <n v="25.64820077827817"/>
    <n v="11651"/>
    <n v="0.83103714317204891"/>
  </r>
  <r>
    <x v="59"/>
    <x v="3"/>
    <n v="7140"/>
    <n v="939"/>
    <n v="499015"/>
    <n v="25.120888149654821"/>
    <n v="43598"/>
    <n v="1.2582840584885981"/>
  </r>
  <r>
    <x v="60"/>
    <x v="3"/>
    <n v="4850"/>
    <n v="494"/>
    <n v="370352"/>
    <n v="20.46539508359615"/>
    <n v="10161"/>
    <n v="1.1901769418245007"/>
  </r>
  <r>
    <x v="61"/>
    <x v="3"/>
    <n v="1078"/>
    <n v="77"/>
    <n v="818408"/>
    <n v="18.236747441373989"/>
    <n v="12839"/>
    <n v="0.12246041445693515"/>
  </r>
  <r>
    <x v="62"/>
    <x v="3"/>
    <n v="3385"/>
    <n v="329"/>
    <n v="599760"/>
    <n v="17.61788048552755"/>
    <n v="28394"/>
    <n v="0.51214672601490852"/>
  </r>
  <r>
    <x v="63"/>
    <x v="3"/>
    <n v="4493"/>
    <n v="564"/>
    <n v="694115"/>
    <n v="16.625487131094989"/>
    <n v="45525"/>
    <n v="0.56926683531685662"/>
  </r>
  <r>
    <x v="64"/>
    <x v="3"/>
    <n v="8842"/>
    <n v="971"/>
    <n v="127203"/>
    <n v="16.351815601833291"/>
    <n v="33928"/>
    <n v="6.5958837528910932"/>
  </r>
  <r>
    <x v="65"/>
    <x v="3"/>
    <n v="7493"/>
    <n v="1113"/>
    <n v="953427"/>
    <n v="15.684892498324469"/>
    <n v="10162"/>
    <n v="0.67367300672511499"/>
  </r>
  <r>
    <x v="66"/>
    <x v="3"/>
    <n v="5200"/>
    <n v="410"/>
    <n v="709008"/>
    <n v="12.913394489201821"/>
    <n v="28994"/>
    <n v="0.68018710115333603"/>
  </r>
  <r>
    <x v="67"/>
    <x v="3"/>
    <n v="7007"/>
    <n v="568"/>
    <n v="568671"/>
    <n v="11.50507059442103"/>
    <n v="22448"/>
    <n v="1.145256762332987"/>
  </r>
  <r>
    <x v="68"/>
    <x v="3"/>
    <n v="1963"/>
    <n v="137"/>
    <n v="255684"/>
    <n v="11.2083665774941"/>
    <n v="24537"/>
    <n v="0.71929976601091949"/>
  </r>
  <r>
    <x v="69"/>
    <x v="3"/>
    <n v="7928"/>
    <n v="704"/>
    <n v="445769"/>
    <n v="11.194362999670229"/>
    <n v="31817"/>
    <n v="1.6472653889566635"/>
  </r>
  <r>
    <x v="70"/>
    <x v="3"/>
    <n v="8177"/>
    <n v="849"/>
    <n v="748744"/>
    <n v="10.34986590877523"/>
    <n v="52963"/>
    <n v="0.98837899370933457"/>
  </r>
  <r>
    <x v="71"/>
    <x v="3"/>
    <n v="5719"/>
    <n v="576"/>
    <n v="675785"/>
    <n v="10.21656296011305"/>
    <n v="38272"/>
    <n v="0.76687711178244133"/>
  </r>
  <r>
    <x v="72"/>
    <x v="3"/>
    <n v="4456"/>
    <n v="651"/>
    <n v="872714"/>
    <n v="9.5052903929580594"/>
    <n v="17736"/>
    <n v="0.43790546535943353"/>
  </r>
  <r>
    <x v="73"/>
    <x v="3"/>
    <n v="9906"/>
    <n v="1305"/>
    <n v="798137"/>
    <n v="9.1811305577864442"/>
    <n v="29715"/>
    <n v="1.08937401207798"/>
  </r>
  <r>
    <x v="74"/>
    <x v="3"/>
    <n v="9599"/>
    <n v="957"/>
    <n v="889484"/>
    <n v="8.768004820772493"/>
    <n v="11619"/>
    <n v="0.98110671380338355"/>
  </r>
  <r>
    <x v="75"/>
    <x v="3"/>
    <n v="7548"/>
    <n v="433"/>
    <n v="522852"/>
    <n v="8.3562843787534522"/>
    <n v="37386"/>
    <n v="1.3795791265703257"/>
  </r>
  <r>
    <x v="76"/>
    <x v="3"/>
    <n v="7303"/>
    <n v="869"/>
    <n v="1073082"/>
    <n v="8.1237966902808925"/>
    <n v="27073"/>
    <n v="0.60319805596597942"/>
  </r>
  <r>
    <x v="77"/>
    <x v="3"/>
    <n v="8340"/>
    <n v="686"/>
    <n v="846217"/>
    <n v="7.201344336027284"/>
    <n v="23493"/>
    <n v="0.91275193396322052"/>
  </r>
  <r>
    <x v="78"/>
    <x v="3"/>
    <n v="5875"/>
    <n v="665"/>
    <n v="1157985"/>
    <n v="6.9871371390821126"/>
    <n v="32669"/>
    <n v="0.45195289627203922"/>
  </r>
  <r>
    <x v="79"/>
    <x v="3"/>
    <n v="2638"/>
    <n v="143"/>
    <n v="432424"/>
    <n v="6.9547481175882924"/>
    <n v="52092"/>
    <n v="0.58032837980224639"/>
  </r>
  <r>
    <x v="80"/>
    <x v="3"/>
    <n v="1769"/>
    <n v="202"/>
    <n v="1064988"/>
    <n v="6.5457075572682513"/>
    <n v="25892"/>
    <n v="0.14735462248723694"/>
  </r>
  <r>
    <x v="81"/>
    <x v="3"/>
    <n v="6542"/>
    <n v="539"/>
    <n v="574674"/>
    <n v="6.4069368024305948"/>
    <n v="55253"/>
    <n v="1.0556191541330575"/>
  </r>
  <r>
    <x v="82"/>
    <x v="3"/>
    <n v="9800"/>
    <n v="682"/>
    <n v="429929"/>
    <n v="6.2966210699906267"/>
    <n v="59815"/>
    <n v="2.1667684542466805"/>
  </r>
  <r>
    <x v="83"/>
    <x v="3"/>
    <n v="4747"/>
    <n v="558"/>
    <n v="1041686"/>
    <n v="5.7680529449373434"/>
    <n v="12643"/>
    <n v="0.40376020364396237"/>
  </r>
  <r>
    <x v="84"/>
    <x v="3"/>
    <n v="7793"/>
    <n v="875"/>
    <n v="545824"/>
    <n v="5.5136820660139527"/>
    <n v="43787"/>
    <n v="1.2837118161608889"/>
  </r>
  <r>
    <x v="85"/>
    <x v="3"/>
    <n v="9286"/>
    <n v="633"/>
    <n v="198388"/>
    <n v="5.4343004617214756"/>
    <n v="48019"/>
    <n v="4.560571323161251"/>
  </r>
  <r>
    <x v="86"/>
    <x v="3"/>
    <n v="7511"/>
    <n v="880"/>
    <n v="966020"/>
    <n v="4.6083932009689246"/>
    <n v="29675"/>
    <n v="0.69116906697908775"/>
  </r>
  <r>
    <x v="87"/>
    <x v="3"/>
    <n v="5737"/>
    <n v="666"/>
    <n v="359081"/>
    <n v="4.6034181702735593"/>
    <n v="21005"/>
    <n v="1.4324454111465779"/>
  </r>
  <r>
    <x v="88"/>
    <x v="3"/>
    <n v="5795"/>
    <n v="575"/>
    <n v="625922"/>
    <n v="3.0908004511744269"/>
    <n v="55657"/>
    <n v="0.84098327377711035"/>
  </r>
  <r>
    <x v="30"/>
    <x v="3"/>
    <n v="4009"/>
    <n v="454"/>
    <n v="995050"/>
    <n v="2.1106477061454201"/>
    <n v="19833"/>
    <n v="0.35854946318438319"/>
  </r>
  <r>
    <x v="25"/>
    <x v="3"/>
    <n v="9964"/>
    <n v="985"/>
    <n v="947047"/>
    <n v="1.9837452629066989"/>
    <n v="47766"/>
    <n v="0.957180076497652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287"/>
    <x v="0"/>
    <x v="0"/>
    <x v="0"/>
    <x v="0"/>
    <n v="14977"/>
    <n v="274"/>
    <n v="798"/>
    <n v="458"/>
    <n v="6636"/>
    <n v="43654"/>
    <x v="0"/>
    <n v="0.36764099509781462"/>
  </r>
  <r>
    <s v="A185"/>
    <x v="0"/>
    <x v="1"/>
    <x v="1"/>
    <x v="1"/>
    <n v="21181"/>
    <n v="1242"/>
    <n v="963"/>
    <n v="1689"/>
    <n v="49329"/>
    <n v="69165"/>
    <x v="0"/>
    <n v="0.33811899081905589"/>
  </r>
  <r>
    <s v="A254"/>
    <x v="0"/>
    <x v="2"/>
    <x v="2"/>
    <x v="2"/>
    <n v="24350"/>
    <n v="460"/>
    <n v="666"/>
    <n v="814"/>
    <n v="21120"/>
    <n v="76914"/>
    <x v="0"/>
    <n v="0.33122708479600593"/>
  </r>
  <r>
    <s v="A140"/>
    <x v="0"/>
    <x v="3"/>
    <x v="3"/>
    <x v="3"/>
    <n v="14891"/>
    <n v="674"/>
    <n v="521"/>
    <n v="1091"/>
    <n v="18101"/>
    <n v="53669"/>
    <x v="0"/>
    <n v="0.29972609886526674"/>
  </r>
  <r>
    <s v="A83"/>
    <x v="0"/>
    <x v="4"/>
    <x v="2"/>
    <x v="4"/>
    <n v="17781"/>
    <n v="993"/>
    <n v="627"/>
    <n v="2187"/>
    <n v="9609"/>
    <n v="66155"/>
    <x v="1"/>
    <n v="0.29326581513113142"/>
  </r>
  <r>
    <s v="A136"/>
    <x v="0"/>
    <x v="5"/>
    <x v="2"/>
    <x v="5"/>
    <n v="12161"/>
    <n v="736"/>
    <n v="876"/>
    <n v="1233"/>
    <n v="21337"/>
    <n v="50225"/>
    <x v="2"/>
    <n v="0.27422598307615731"/>
  </r>
  <r>
    <s v="A244"/>
    <x v="0"/>
    <x v="6"/>
    <x v="0"/>
    <x v="6"/>
    <n v="15046"/>
    <n v="281"/>
    <n v="515"/>
    <n v="550"/>
    <n v="22583"/>
    <n v="64596"/>
    <x v="2"/>
    <n v="0.24524738373893121"/>
  </r>
  <r>
    <s v="A216"/>
    <x v="0"/>
    <x v="7"/>
    <x v="3"/>
    <x v="7"/>
    <n v="22590"/>
    <n v="1462"/>
    <n v="966"/>
    <n v="2463"/>
    <n v="29689"/>
    <n v="103449"/>
    <x v="3"/>
    <n v="0.24183897379385011"/>
  </r>
  <r>
    <s v="A289"/>
    <x v="0"/>
    <x v="8"/>
    <x v="2"/>
    <x v="3"/>
    <n v="18644"/>
    <n v="1369"/>
    <n v="887"/>
    <n v="1256"/>
    <n v="43415"/>
    <n v="88368"/>
    <x v="3"/>
    <n v="0.23651095419156257"/>
  </r>
  <r>
    <s v="A186"/>
    <x v="0"/>
    <x v="9"/>
    <x v="0"/>
    <x v="5"/>
    <n v="24890"/>
    <n v="217"/>
    <n v="178"/>
    <n v="906"/>
    <n v="54826"/>
    <n v="107203"/>
    <x v="3"/>
    <n v="0.23586093672751696"/>
  </r>
  <r>
    <s v="A68"/>
    <x v="0"/>
    <x v="10"/>
    <x v="0"/>
    <x v="1"/>
    <n v="10427"/>
    <n v="1014"/>
    <n v="166"/>
    <n v="1649"/>
    <n v="15145"/>
    <n v="59816"/>
    <x v="3"/>
    <n v="0.19404507155276179"/>
  </r>
  <r>
    <s v="A230"/>
    <x v="0"/>
    <x v="3"/>
    <x v="0"/>
    <x v="4"/>
    <n v="12554"/>
    <n v="381"/>
    <n v="211"/>
    <n v="2286"/>
    <n v="50567"/>
    <n v="72779"/>
    <x v="0"/>
    <n v="0.18062902760411656"/>
  </r>
  <r>
    <s v="A125"/>
    <x v="0"/>
    <x v="11"/>
    <x v="2"/>
    <x v="7"/>
    <n v="8090"/>
    <n v="570"/>
    <n v="399"/>
    <n v="1862"/>
    <n v="34088"/>
    <n v="52115"/>
    <x v="0"/>
    <n v="0.17382711311522595"/>
  </r>
  <r>
    <s v="A73"/>
    <x v="0"/>
    <x v="12"/>
    <x v="0"/>
    <x v="7"/>
    <n v="23103"/>
    <n v="1380"/>
    <n v="191"/>
    <n v="1547"/>
    <n v="77798"/>
    <n v="148856"/>
    <x v="2"/>
    <n v="0.16575751061428495"/>
  </r>
  <r>
    <s v="A75"/>
    <x v="0"/>
    <x v="13"/>
    <x v="1"/>
    <x v="5"/>
    <n v="21758"/>
    <n v="1380"/>
    <n v="188"/>
    <n v="1735"/>
    <n v="20998"/>
    <n v="147803"/>
    <x v="4"/>
    <n v="0.15781817689762725"/>
  </r>
  <r>
    <s v="A132"/>
    <x v="0"/>
    <x v="14"/>
    <x v="0"/>
    <x v="1"/>
    <n v="5266"/>
    <n v="316"/>
    <n v="837"/>
    <n v="2276"/>
    <n v="20967"/>
    <n v="41969"/>
    <x v="4"/>
    <n v="0.1529462222116324"/>
  </r>
  <r>
    <s v="A264"/>
    <x v="0"/>
    <x v="15"/>
    <x v="3"/>
    <x v="6"/>
    <n v="12954"/>
    <n v="913"/>
    <n v="722"/>
    <n v="1049"/>
    <n v="475"/>
    <n v="97716"/>
    <x v="0"/>
    <n v="0.14930001228048631"/>
  </r>
  <r>
    <s v="A248"/>
    <x v="0"/>
    <x v="16"/>
    <x v="2"/>
    <x v="2"/>
    <n v="12787"/>
    <n v="945"/>
    <n v="974"/>
    <n v="1407"/>
    <n v="4037"/>
    <n v="99182"/>
    <x v="2"/>
    <n v="0.14827287209372669"/>
  </r>
  <r>
    <s v="A155"/>
    <x v="0"/>
    <x v="17"/>
    <x v="1"/>
    <x v="7"/>
    <n v="12453"/>
    <n v="376"/>
    <n v="320"/>
    <n v="2546"/>
    <n v="22617"/>
    <n v="90138"/>
    <x v="3"/>
    <n v="0.14587632297144379"/>
  </r>
  <r>
    <s v="A88"/>
    <x v="0"/>
    <x v="18"/>
    <x v="3"/>
    <x v="1"/>
    <n v="24625"/>
    <n v="749"/>
    <n v="193"/>
    <n v="1340"/>
    <n v="4890"/>
    <n v="189381"/>
    <x v="0"/>
    <n v="0.13500298340382616"/>
  </r>
  <r>
    <s v="A39"/>
    <x v="0"/>
    <x v="6"/>
    <x v="2"/>
    <x v="3"/>
    <n v="17106"/>
    <n v="702"/>
    <n v="459"/>
    <n v="999"/>
    <n v="59627"/>
    <n v="136059"/>
    <x v="2"/>
    <n v="0.13425793222058077"/>
  </r>
  <r>
    <s v="A60"/>
    <x v="0"/>
    <x v="19"/>
    <x v="3"/>
    <x v="8"/>
    <n v="9239"/>
    <n v="1477"/>
    <n v="631"/>
    <n v="1556"/>
    <n v="11580"/>
    <n v="84738"/>
    <x v="3"/>
    <n v="0.13390686586891359"/>
  </r>
  <r>
    <s v="A7"/>
    <x v="0"/>
    <x v="20"/>
    <x v="2"/>
    <x v="3"/>
    <n v="7713"/>
    <n v="575"/>
    <n v="417"/>
    <n v="336"/>
    <n v="23275"/>
    <n v="66017"/>
    <x v="1"/>
    <n v="0.13185997546086614"/>
  </r>
  <r>
    <s v="A100"/>
    <x v="0"/>
    <x v="21"/>
    <x v="1"/>
    <x v="4"/>
    <n v="20564"/>
    <n v="1433"/>
    <n v="488"/>
    <n v="1015"/>
    <n v="24333"/>
    <n v="172130"/>
    <x v="2"/>
    <n v="0.13062801371056759"/>
  </r>
  <r>
    <s v="A138"/>
    <x v="0"/>
    <x v="22"/>
    <x v="2"/>
    <x v="5"/>
    <n v="23508"/>
    <n v="585"/>
    <n v="743"/>
    <n v="2155"/>
    <n v="3704"/>
    <n v="194268"/>
    <x v="1"/>
    <n v="0.1278440093067309"/>
  </r>
  <r>
    <s v="A36"/>
    <x v="0"/>
    <x v="23"/>
    <x v="2"/>
    <x v="9"/>
    <n v="20384"/>
    <n v="344"/>
    <n v="956"/>
    <n v="655"/>
    <n v="67621"/>
    <n v="175720"/>
    <x v="3"/>
    <n v="0.12340086501251991"/>
  </r>
  <r>
    <s v="A63"/>
    <x v="0"/>
    <x v="24"/>
    <x v="1"/>
    <x v="7"/>
    <n v="12357"/>
    <n v="716"/>
    <n v="599"/>
    <n v="999"/>
    <n v="89591"/>
    <n v="116367"/>
    <x v="0"/>
    <n v="0.11749035379446063"/>
  </r>
  <r>
    <s v="A204"/>
    <x v="0"/>
    <x v="25"/>
    <x v="2"/>
    <x v="4"/>
    <n v="18509"/>
    <n v="361"/>
    <n v="578"/>
    <n v="1409"/>
    <n v="10569"/>
    <n v="166969"/>
    <x v="2"/>
    <n v="0.11647671124580011"/>
  </r>
  <r>
    <s v="A128"/>
    <x v="0"/>
    <x v="26"/>
    <x v="2"/>
    <x v="6"/>
    <n v="14647"/>
    <n v="1168"/>
    <n v="484"/>
    <n v="2650"/>
    <n v="27217"/>
    <n v="144061"/>
    <x v="1"/>
    <n v="0.11313957281984714"/>
  </r>
  <r>
    <s v="A159"/>
    <x v="0"/>
    <x v="27"/>
    <x v="3"/>
    <x v="3"/>
    <n v="21262"/>
    <n v="861"/>
    <n v="676"/>
    <n v="2263"/>
    <n v="12085"/>
    <n v="201731"/>
    <x v="2"/>
    <n v="0.11301683925623726"/>
  </r>
  <r>
    <s v="A3"/>
    <x v="0"/>
    <x v="28"/>
    <x v="3"/>
    <x v="5"/>
    <n v="19308"/>
    <n v="1318"/>
    <n v="795"/>
    <n v="1499"/>
    <n v="23275"/>
    <n v="193087"/>
    <x v="3"/>
    <n v="0.11093962825047776"/>
  </r>
  <r>
    <s v="A153"/>
    <x v="0"/>
    <x v="29"/>
    <x v="0"/>
    <x v="1"/>
    <n v="24574"/>
    <n v="909"/>
    <n v="280"/>
    <n v="2009"/>
    <n v="6221"/>
    <n v="236910"/>
    <x v="4"/>
    <n v="0.10874593727575872"/>
  </r>
  <r>
    <s v="A199"/>
    <x v="0"/>
    <x v="30"/>
    <x v="1"/>
    <x v="8"/>
    <n v="12267"/>
    <n v="1487"/>
    <n v="489"/>
    <n v="2748"/>
    <n v="34685"/>
    <n v="131736"/>
    <x v="2"/>
    <n v="0.1081177506528208"/>
  </r>
  <r>
    <s v="A166"/>
    <x v="0"/>
    <x v="31"/>
    <x v="3"/>
    <x v="2"/>
    <n v="24195"/>
    <n v="888"/>
    <n v="165"/>
    <n v="1559"/>
    <n v="11596"/>
    <n v="249988"/>
    <x v="3"/>
    <n v="0.10099684784869674"/>
  </r>
  <r>
    <s v="A122"/>
    <x v="0"/>
    <x v="32"/>
    <x v="0"/>
    <x v="6"/>
    <n v="9350"/>
    <n v="1024"/>
    <n v="550"/>
    <n v="2123"/>
    <n v="53916"/>
    <n v="108785"/>
    <x v="3"/>
    <n v="0.10041825619340902"/>
  </r>
  <r>
    <s v="A249"/>
    <x v="0"/>
    <x v="33"/>
    <x v="0"/>
    <x v="9"/>
    <n v="11111"/>
    <n v="1222"/>
    <n v="367"/>
    <n v="507"/>
    <n v="14129"/>
    <n v="127163"/>
    <x v="4"/>
    <n v="9.9871818060284834E-2"/>
  </r>
  <r>
    <s v="A263"/>
    <x v="0"/>
    <x v="34"/>
    <x v="3"/>
    <x v="4"/>
    <n v="2846"/>
    <n v="792"/>
    <n v="902"/>
    <n v="2469"/>
    <n v="12130"/>
    <n v="47151"/>
    <x v="0"/>
    <n v="9.6286399015927546E-2"/>
  </r>
  <r>
    <s v="A179"/>
    <x v="0"/>
    <x v="3"/>
    <x v="1"/>
    <x v="2"/>
    <n v="17034"/>
    <n v="231"/>
    <n v="290"/>
    <n v="1387"/>
    <n v="63550"/>
    <n v="198280"/>
    <x v="4"/>
    <n v="8.8536413153116805E-2"/>
  </r>
  <r>
    <s v="A137"/>
    <x v="0"/>
    <x v="24"/>
    <x v="2"/>
    <x v="0"/>
    <n v="13314"/>
    <n v="274"/>
    <n v="626"/>
    <n v="2280"/>
    <n v="14639"/>
    <n v="163008"/>
    <x v="1"/>
    <n v="8.7198174322732622E-2"/>
  </r>
  <r>
    <s v="A64"/>
    <x v="0"/>
    <x v="35"/>
    <x v="0"/>
    <x v="4"/>
    <n v="19154"/>
    <n v="1064"/>
    <n v="650"/>
    <n v="747"/>
    <n v="42667"/>
    <n v="242332"/>
    <x v="3"/>
    <n v="8.6113266097750191E-2"/>
  </r>
  <r>
    <s v="A213"/>
    <x v="0"/>
    <x v="36"/>
    <x v="3"/>
    <x v="10"/>
    <n v="10258"/>
    <n v="527"/>
    <n v="854"/>
    <n v="2068"/>
    <n v="45632"/>
    <n v="136546"/>
    <x v="4"/>
    <n v="8.5238674146441498E-2"/>
  </r>
  <r>
    <s v="A255"/>
    <x v="0"/>
    <x v="37"/>
    <x v="1"/>
    <x v="11"/>
    <n v="10837"/>
    <n v="1004"/>
    <n v="922"/>
    <n v="1108"/>
    <n v="36807"/>
    <n v="150350"/>
    <x v="3"/>
    <n v="8.4888593282341204E-2"/>
  </r>
  <r>
    <s v="A8"/>
    <x v="0"/>
    <x v="38"/>
    <x v="0"/>
    <x v="8"/>
    <n v="18639"/>
    <n v="1360"/>
    <n v="898"/>
    <n v="2011"/>
    <n v="23275"/>
    <n v="247779"/>
    <x v="1"/>
    <n v="8.4337252148083575E-2"/>
  </r>
  <r>
    <s v="A117"/>
    <x v="0"/>
    <x v="39"/>
    <x v="1"/>
    <x v="2"/>
    <n v="14015"/>
    <n v="978"/>
    <n v="196"/>
    <n v="2744"/>
    <n v="20190"/>
    <n v="186470"/>
    <x v="3"/>
    <n v="8.1455462004611998E-2"/>
  </r>
  <r>
    <s v="A172"/>
    <x v="0"/>
    <x v="40"/>
    <x v="2"/>
    <x v="11"/>
    <n v="10150"/>
    <n v="526"/>
    <n v="888"/>
    <n v="1313"/>
    <n v="51605"/>
    <n v="143409"/>
    <x v="0"/>
    <n v="8.0636501195880311E-2"/>
  </r>
  <r>
    <s v="A227"/>
    <x v="0"/>
    <x v="41"/>
    <x v="3"/>
    <x v="1"/>
    <n v="17679"/>
    <n v="690"/>
    <n v="451"/>
    <n v="2195"/>
    <n v="4390"/>
    <n v="235804"/>
    <x v="4"/>
    <n v="7.9812047293514959E-2"/>
  </r>
  <r>
    <s v="A277"/>
    <x v="0"/>
    <x v="42"/>
    <x v="1"/>
    <x v="9"/>
    <n v="14941"/>
    <n v="1424"/>
    <n v="238"/>
    <n v="1054"/>
    <n v="20516"/>
    <n v="216048"/>
    <x v="4"/>
    <n v="7.6848663260016298E-2"/>
  </r>
  <r>
    <s v="A252"/>
    <x v="0"/>
    <x v="43"/>
    <x v="2"/>
    <x v="2"/>
    <n v="10659"/>
    <n v="1342"/>
    <n v="408"/>
    <n v="709"/>
    <n v="16309"/>
    <n v="168803"/>
    <x v="3"/>
    <n v="7.3511726687321907E-2"/>
  </r>
  <r>
    <s v="A229"/>
    <x v="0"/>
    <x v="44"/>
    <x v="0"/>
    <x v="1"/>
    <n v="12167"/>
    <n v="364"/>
    <n v="160"/>
    <n v="616"/>
    <n v="42228"/>
    <n v="175832"/>
    <x v="3"/>
    <n v="7.2176850630146963E-2"/>
  </r>
  <r>
    <s v="A291"/>
    <x v="0"/>
    <x v="45"/>
    <x v="1"/>
    <x v="3"/>
    <n v="11865"/>
    <n v="241"/>
    <n v="319"/>
    <n v="703"/>
    <n v="69596"/>
    <n v="177513"/>
    <x v="1"/>
    <n v="6.999487361489018E-2"/>
  </r>
  <r>
    <s v="A299"/>
    <x v="0"/>
    <x v="21"/>
    <x v="2"/>
    <x v="6"/>
    <n v="12568"/>
    <n v="541"/>
    <n v="273"/>
    <n v="2767"/>
    <n v="22331"/>
    <n v="192747"/>
    <x v="2"/>
    <n v="6.9427799135654514E-2"/>
  </r>
  <r>
    <s v="A162"/>
    <x v="0"/>
    <x v="46"/>
    <x v="1"/>
    <x v="3"/>
    <n v="6432"/>
    <n v="1272"/>
    <n v="498"/>
    <n v="677"/>
    <n v="47305"/>
    <n v="119134"/>
    <x v="0"/>
    <n v="6.8846844729464299E-2"/>
  </r>
  <r>
    <s v="A279"/>
    <x v="0"/>
    <x v="47"/>
    <x v="0"/>
    <x v="0"/>
    <n v="11765"/>
    <n v="693"/>
    <n v="729"/>
    <n v="744"/>
    <n v="97772"/>
    <n v="194243"/>
    <x v="0"/>
    <n v="6.7889190344053579E-2"/>
  </r>
  <r>
    <s v="A218"/>
    <x v="0"/>
    <x v="48"/>
    <x v="0"/>
    <x v="9"/>
    <n v="14910"/>
    <n v="778"/>
    <n v="289"/>
    <n v="2541"/>
    <n v="14309"/>
    <n v="247815"/>
    <x v="3"/>
    <n v="6.4471480741682297E-2"/>
  </r>
  <r>
    <s v="A210"/>
    <x v="0"/>
    <x v="49"/>
    <x v="0"/>
    <x v="10"/>
    <n v="8168"/>
    <n v="512"/>
    <n v="442"/>
    <n v="2343"/>
    <n v="2753"/>
    <n v="143896"/>
    <x v="4"/>
    <n v="6.3393006059932172E-2"/>
  </r>
  <r>
    <s v="A149"/>
    <x v="0"/>
    <x v="50"/>
    <x v="3"/>
    <x v="7"/>
    <n v="12160"/>
    <n v="1405"/>
    <n v="769"/>
    <n v="1980"/>
    <n v="33174"/>
    <n v="226481"/>
    <x v="0"/>
    <n v="6.329007731332871E-2"/>
  </r>
  <r>
    <s v="A288"/>
    <x v="0"/>
    <x v="51"/>
    <x v="3"/>
    <x v="8"/>
    <n v="2009"/>
    <n v="1037"/>
    <n v="344"/>
    <n v="2277"/>
    <n v="85743"/>
    <n v="58743"/>
    <x v="1"/>
    <n v="5.7709003625963942E-2"/>
  </r>
  <r>
    <s v="A32"/>
    <x v="0"/>
    <x v="24"/>
    <x v="1"/>
    <x v="2"/>
    <n v="2404"/>
    <n v="774"/>
    <n v="661"/>
    <n v="662"/>
    <n v="12676"/>
    <n v="66916"/>
    <x v="0"/>
    <n v="5.7370434574690654E-2"/>
  </r>
  <r>
    <s v="A133"/>
    <x v="0"/>
    <x v="52"/>
    <x v="1"/>
    <x v="7"/>
    <n v="2666"/>
    <n v="1136"/>
    <n v="989"/>
    <n v="1710"/>
    <n v="36467"/>
    <n v="83753"/>
    <x v="3"/>
    <n v="5.7203921053574198E-2"/>
  </r>
  <r>
    <s v="A120"/>
    <x v="0"/>
    <x v="53"/>
    <x v="0"/>
    <x v="0"/>
    <n v="8254"/>
    <n v="1405"/>
    <n v="165"/>
    <n v="2504"/>
    <n v="8081"/>
    <n v="177710"/>
    <x v="0"/>
    <n v="5.5281075910190762E-2"/>
  </r>
  <r>
    <s v="A293"/>
    <x v="0"/>
    <x v="54"/>
    <x v="1"/>
    <x v="2"/>
    <n v="9041"/>
    <n v="1133"/>
    <n v="612"/>
    <n v="1687"/>
    <n v="28102"/>
    <n v="195683"/>
    <x v="1"/>
    <n v="5.5119760020032396E-2"/>
  </r>
  <r>
    <s v="A31"/>
    <x v="0"/>
    <x v="55"/>
    <x v="1"/>
    <x v="0"/>
    <n v="2384"/>
    <n v="1246"/>
    <n v="160"/>
    <n v="2004"/>
    <n v="2701"/>
    <n v="73142"/>
    <x v="0"/>
    <n v="5.1817013480626728E-2"/>
  </r>
  <r>
    <s v="A22"/>
    <x v="0"/>
    <x v="56"/>
    <x v="1"/>
    <x v="3"/>
    <n v="8970"/>
    <n v="331"/>
    <n v="968"/>
    <n v="2296"/>
    <n v="24613"/>
    <n v="198562"/>
    <x v="1"/>
    <n v="5.1716844109144754E-2"/>
  </r>
  <r>
    <s v="A261"/>
    <x v="0"/>
    <x v="57"/>
    <x v="2"/>
    <x v="7"/>
    <n v="7560"/>
    <n v="1139"/>
    <n v="248"/>
    <n v="1624"/>
    <n v="72237"/>
    <n v="177084"/>
    <x v="3"/>
    <n v="5.0524045085947912E-2"/>
  </r>
  <r>
    <s v="A16"/>
    <x v="0"/>
    <x v="58"/>
    <x v="2"/>
    <x v="8"/>
    <n v="4193"/>
    <n v="924"/>
    <n v="707"/>
    <n v="2696"/>
    <n v="23275"/>
    <n v="126652"/>
    <x v="1"/>
    <n v="4.5984271863057827E-2"/>
  </r>
  <r>
    <s v="A58"/>
    <x v="0"/>
    <x v="59"/>
    <x v="2"/>
    <x v="5"/>
    <n v="5419"/>
    <n v="1150"/>
    <n v="656"/>
    <n v="1990"/>
    <n v="410"/>
    <n v="158154"/>
    <x v="3"/>
    <n v="4.5683321319726342E-2"/>
  </r>
  <r>
    <s v="A134"/>
    <x v="0"/>
    <x v="60"/>
    <x v="2"/>
    <x v="4"/>
    <n v="6188"/>
    <n v="774"/>
    <n v="647"/>
    <n v="1830"/>
    <n v="55436"/>
    <n v="175542"/>
    <x v="2"/>
    <n v="4.3345752013763089E-2"/>
  </r>
  <r>
    <s v="A38"/>
    <x v="0"/>
    <x v="61"/>
    <x v="3"/>
    <x v="1"/>
    <n v="7989"/>
    <n v="1206"/>
    <n v="376"/>
    <n v="2769"/>
    <n v="27550"/>
    <n v="221749"/>
    <x v="3"/>
    <n v="4.3161412227338117E-2"/>
  </r>
  <r>
    <s v="A142"/>
    <x v="0"/>
    <x v="62"/>
    <x v="2"/>
    <x v="5"/>
    <n v="5900"/>
    <n v="546"/>
    <n v="592"/>
    <n v="1594"/>
    <n v="38627"/>
    <n v="164398"/>
    <x v="4"/>
    <n v="4.2810739790021778E-2"/>
  </r>
  <r>
    <s v="A206"/>
    <x v="0"/>
    <x v="20"/>
    <x v="1"/>
    <x v="2"/>
    <n v="6632"/>
    <n v="254"/>
    <n v="525"/>
    <n v="1013"/>
    <n v="13838"/>
    <n v="180180"/>
    <x v="0"/>
    <n v="4.1131091131091133E-2"/>
  </r>
  <r>
    <s v="A275"/>
    <x v="0"/>
    <x v="63"/>
    <x v="3"/>
    <x v="8"/>
    <n v="4048"/>
    <n v="751"/>
    <n v="930"/>
    <n v="1382"/>
    <n v="16844"/>
    <n v="148177"/>
    <x v="1"/>
    <n v="3.8663220337839206E-2"/>
  </r>
  <r>
    <s v="A181"/>
    <x v="0"/>
    <x v="64"/>
    <x v="2"/>
    <x v="8"/>
    <n v="7126"/>
    <n v="484"/>
    <n v="565"/>
    <n v="573"/>
    <n v="7389"/>
    <n v="237096"/>
    <x v="2"/>
    <n v="3.4479704423524646E-2"/>
  </r>
  <r>
    <s v="A247"/>
    <x v="0"/>
    <x v="65"/>
    <x v="1"/>
    <x v="9"/>
    <n v="6324"/>
    <n v="908"/>
    <n v="375"/>
    <n v="758"/>
    <n v="34850"/>
    <n v="241039"/>
    <x v="0"/>
    <n v="3.1559208260903839E-2"/>
  </r>
  <r>
    <s v="A193"/>
    <x v="0"/>
    <x v="66"/>
    <x v="1"/>
    <x v="8"/>
    <n v="3906"/>
    <n v="1187"/>
    <n v="589"/>
    <n v="401"/>
    <n v="52687"/>
    <n v="196498"/>
    <x v="0"/>
    <n v="2.8916324848090057E-2"/>
  </r>
  <r>
    <s v="A82"/>
    <x v="1"/>
    <x v="67"/>
    <x v="0"/>
    <x v="3"/>
    <n v="22914"/>
    <n v="954"/>
    <n v="584"/>
    <n v="1519"/>
    <n v="13637"/>
    <n v="49847"/>
    <x v="0"/>
    <n v="0.49054105563022848"/>
  </r>
  <r>
    <s v="A121"/>
    <x v="1"/>
    <x v="7"/>
    <x v="0"/>
    <x v="7"/>
    <n v="19144"/>
    <n v="1182"/>
    <n v="860"/>
    <n v="1398"/>
    <n v="4185"/>
    <n v="46570"/>
    <x v="0"/>
    <n v="0.454928065278076"/>
  </r>
  <r>
    <s v="A174"/>
    <x v="1"/>
    <x v="68"/>
    <x v="2"/>
    <x v="7"/>
    <n v="13479"/>
    <n v="1189"/>
    <n v="695"/>
    <n v="416"/>
    <n v="30229"/>
    <n v="45704"/>
    <x v="0"/>
    <n v="0.33614125678277612"/>
  </r>
  <r>
    <s v="A164"/>
    <x v="1"/>
    <x v="69"/>
    <x v="1"/>
    <x v="1"/>
    <n v="16178"/>
    <n v="1048"/>
    <n v="871"/>
    <n v="2553"/>
    <n v="39025"/>
    <n v="59508"/>
    <x v="0"/>
    <n v="0.30411037171472743"/>
  </r>
  <r>
    <s v="A80"/>
    <x v="1"/>
    <x v="70"/>
    <x v="1"/>
    <x v="7"/>
    <n v="14173"/>
    <n v="294"/>
    <n v="257"/>
    <n v="1288"/>
    <n v="39466"/>
    <n v="55563"/>
    <x v="4"/>
    <n v="0.26499649047027696"/>
  </r>
  <r>
    <s v="A150"/>
    <x v="1"/>
    <x v="71"/>
    <x v="0"/>
    <x v="6"/>
    <n v="16124"/>
    <n v="863"/>
    <n v="337"/>
    <n v="819"/>
    <n v="85788"/>
    <n v="68625"/>
    <x v="1"/>
    <n v="0.25244444444444447"/>
  </r>
  <r>
    <s v="A6"/>
    <x v="1"/>
    <x v="72"/>
    <x v="1"/>
    <x v="4"/>
    <n v="14677"/>
    <n v="533"/>
    <n v="759"/>
    <n v="753"/>
    <n v="23275"/>
    <n v="66958"/>
    <x v="2"/>
    <n v="0.23849278652289496"/>
  </r>
  <r>
    <s v="A119"/>
    <x v="1"/>
    <x v="73"/>
    <x v="2"/>
    <x v="11"/>
    <n v="20290"/>
    <n v="619"/>
    <n v="927"/>
    <n v="1186"/>
    <n v="8924"/>
    <n v="96503"/>
    <x v="4"/>
    <n v="0.22627275835984373"/>
  </r>
  <r>
    <s v="A46"/>
    <x v="1"/>
    <x v="74"/>
    <x v="3"/>
    <x v="2"/>
    <n v="17444"/>
    <n v="1402"/>
    <n v="218"/>
    <n v="725"/>
    <n v="8710"/>
    <n v="85893"/>
    <x v="4"/>
    <n v="0.22195056640238436"/>
  </r>
  <r>
    <s v="A163"/>
    <x v="1"/>
    <x v="75"/>
    <x v="0"/>
    <x v="7"/>
    <n v="15568"/>
    <n v="1166"/>
    <n v="546"/>
    <n v="826"/>
    <n v="21836"/>
    <n v="87055"/>
    <x v="0"/>
    <n v="0.19849520418126471"/>
  </r>
  <r>
    <s v="A300"/>
    <x v="1"/>
    <x v="76"/>
    <x v="0"/>
    <x v="10"/>
    <n v="21216"/>
    <n v="226"/>
    <n v="187"/>
    <n v="1573"/>
    <n v="62688"/>
    <n v="111031"/>
    <x v="2"/>
    <n v="0.19480145184678152"/>
  </r>
  <r>
    <s v="A126"/>
    <x v="1"/>
    <x v="77"/>
    <x v="1"/>
    <x v="8"/>
    <n v="13637"/>
    <n v="1135"/>
    <n v="540"/>
    <n v="1288"/>
    <n v="45183"/>
    <n v="79062"/>
    <x v="4"/>
    <n v="0.19367079001290127"/>
  </r>
  <r>
    <s v="A129"/>
    <x v="1"/>
    <x v="78"/>
    <x v="1"/>
    <x v="0"/>
    <n v="11911"/>
    <n v="1360"/>
    <n v="778"/>
    <n v="1168"/>
    <n v="16483"/>
    <n v="72556"/>
    <x v="3"/>
    <n v="0.19362974805667346"/>
  </r>
  <r>
    <s v="A47"/>
    <x v="1"/>
    <x v="79"/>
    <x v="3"/>
    <x v="10"/>
    <n v="24984"/>
    <n v="753"/>
    <n v="461"/>
    <n v="2710"/>
    <n v="20792"/>
    <n v="141520"/>
    <x v="3"/>
    <n v="0.18511871113623515"/>
  </r>
  <r>
    <s v="A91"/>
    <x v="1"/>
    <x v="80"/>
    <x v="3"/>
    <x v="3"/>
    <n v="12209"/>
    <n v="222"/>
    <n v="479"/>
    <n v="2748"/>
    <n v="24615"/>
    <n v="74707"/>
    <x v="2"/>
    <n v="0.17280843829895459"/>
  </r>
  <r>
    <s v="A44"/>
    <x v="1"/>
    <x v="81"/>
    <x v="0"/>
    <x v="6"/>
    <n v="22562"/>
    <n v="778"/>
    <n v="907"/>
    <n v="1354"/>
    <n v="34475"/>
    <n v="141459"/>
    <x v="1"/>
    <n v="0.17140655596321194"/>
  </r>
  <r>
    <s v="A276"/>
    <x v="1"/>
    <x v="82"/>
    <x v="0"/>
    <x v="0"/>
    <n v="8233"/>
    <n v="436"/>
    <n v="269"/>
    <n v="2037"/>
    <n v="8875"/>
    <n v="52289"/>
    <x v="0"/>
    <n v="0.17093461339861157"/>
  </r>
  <r>
    <s v="A160"/>
    <x v="1"/>
    <x v="9"/>
    <x v="3"/>
    <x v="6"/>
    <n v="22527"/>
    <n v="865"/>
    <n v="646"/>
    <n v="992"/>
    <n v="18654"/>
    <n v="141376"/>
    <x v="4"/>
    <n v="0.17002885921231325"/>
  </r>
  <r>
    <s v="A202"/>
    <x v="1"/>
    <x v="12"/>
    <x v="1"/>
    <x v="11"/>
    <n v="19680"/>
    <n v="999"/>
    <n v="838"/>
    <n v="891"/>
    <n v="29576"/>
    <n v="129152"/>
    <x v="2"/>
    <n v="0.16660214321110009"/>
  </r>
  <r>
    <s v="A77"/>
    <x v="1"/>
    <x v="14"/>
    <x v="2"/>
    <x v="10"/>
    <n v="13470"/>
    <n v="523"/>
    <n v="280"/>
    <n v="2682"/>
    <n v="8538"/>
    <n v="95204"/>
    <x v="0"/>
    <n v="0.14992017142136885"/>
  </r>
  <r>
    <s v="A108"/>
    <x v="1"/>
    <x v="83"/>
    <x v="2"/>
    <x v="8"/>
    <n v="21963"/>
    <n v="1356"/>
    <n v="349"/>
    <n v="1206"/>
    <n v="51755"/>
    <n v="159273"/>
    <x v="2"/>
    <n v="0.14860020216860359"/>
  </r>
  <r>
    <s v="A104"/>
    <x v="1"/>
    <x v="84"/>
    <x v="1"/>
    <x v="5"/>
    <n v="24711"/>
    <n v="882"/>
    <n v="876"/>
    <n v="2728"/>
    <n v="32015"/>
    <n v="180272"/>
    <x v="1"/>
    <n v="0.1468281263867933"/>
  </r>
  <r>
    <s v="A232"/>
    <x v="1"/>
    <x v="85"/>
    <x v="2"/>
    <x v="8"/>
    <n v="16277"/>
    <n v="1109"/>
    <n v="375"/>
    <n v="2225"/>
    <n v="1044"/>
    <n v="121889"/>
    <x v="1"/>
    <n v="0.14571454356012437"/>
  </r>
  <r>
    <s v="A224"/>
    <x v="1"/>
    <x v="86"/>
    <x v="3"/>
    <x v="11"/>
    <n v="4472"/>
    <n v="1301"/>
    <n v="956"/>
    <n v="1186"/>
    <n v="3363"/>
    <n v="46471"/>
    <x v="2"/>
    <n v="0.14479998278496267"/>
  </r>
  <r>
    <s v="A67"/>
    <x v="1"/>
    <x v="22"/>
    <x v="0"/>
    <x v="8"/>
    <n v="19461"/>
    <n v="1382"/>
    <n v="445"/>
    <n v="1307"/>
    <n v="84691"/>
    <n v="151453"/>
    <x v="1"/>
    <n v="0.14055845707909384"/>
  </r>
  <r>
    <s v="A84"/>
    <x v="1"/>
    <x v="87"/>
    <x v="1"/>
    <x v="1"/>
    <n v="15051"/>
    <n v="268"/>
    <n v="251"/>
    <n v="783"/>
    <n v="34154"/>
    <n v="119671"/>
    <x v="1"/>
    <n v="0.13010670922779954"/>
  </r>
  <r>
    <s v="A205"/>
    <x v="1"/>
    <x v="88"/>
    <x v="3"/>
    <x v="2"/>
    <n v="17147"/>
    <n v="286"/>
    <n v="291"/>
    <n v="2439"/>
    <n v="45631"/>
    <n v="140494"/>
    <x v="2"/>
    <n v="0.12615485358805359"/>
  </r>
  <r>
    <s v="A24"/>
    <x v="1"/>
    <x v="89"/>
    <x v="0"/>
    <x v="10"/>
    <n v="23168"/>
    <n v="1265"/>
    <n v="441"/>
    <n v="1612"/>
    <n v="66615"/>
    <n v="197795"/>
    <x v="1"/>
    <n v="0.12575646502692181"/>
  </r>
  <r>
    <s v="A131"/>
    <x v="1"/>
    <x v="53"/>
    <x v="1"/>
    <x v="10"/>
    <n v="20271"/>
    <n v="512"/>
    <n v="286"/>
    <n v="1982"/>
    <n v="43225"/>
    <n v="168335"/>
    <x v="1"/>
    <n v="0.12516113701844536"/>
  </r>
  <r>
    <s v="A144"/>
    <x v="1"/>
    <x v="90"/>
    <x v="2"/>
    <x v="6"/>
    <n v="8981"/>
    <n v="1138"/>
    <n v="764"/>
    <n v="2555"/>
    <n v="92810"/>
    <n v="88320"/>
    <x v="4"/>
    <n v="0.1232223731884058"/>
  </r>
  <r>
    <s v="A217"/>
    <x v="1"/>
    <x v="76"/>
    <x v="2"/>
    <x v="7"/>
    <n v="16369"/>
    <n v="1452"/>
    <n v="493"/>
    <n v="1217"/>
    <n v="91440"/>
    <n v="149834"/>
    <x v="2"/>
    <n v="0.12222859965027964"/>
  </r>
  <r>
    <s v="A234"/>
    <x v="1"/>
    <x v="91"/>
    <x v="1"/>
    <x v="3"/>
    <n v="19844"/>
    <n v="1022"/>
    <n v="860"/>
    <n v="2570"/>
    <n v="23719"/>
    <n v="182628"/>
    <x v="3"/>
    <n v="0.11896313818253498"/>
  </r>
  <r>
    <s v="A143"/>
    <x v="1"/>
    <x v="32"/>
    <x v="1"/>
    <x v="5"/>
    <n v="15716"/>
    <n v="839"/>
    <n v="639"/>
    <n v="2839"/>
    <n v="349"/>
    <n v="150677"/>
    <x v="3"/>
    <n v="0.11411164278556117"/>
  </r>
  <r>
    <s v="A98"/>
    <x v="1"/>
    <x v="92"/>
    <x v="0"/>
    <x v="3"/>
    <n v="21561"/>
    <n v="340"/>
    <n v="741"/>
    <n v="986"/>
    <n v="24826"/>
    <n v="198492"/>
    <x v="0"/>
    <n v="0.11407008846704149"/>
  </r>
  <r>
    <s v="A92"/>
    <x v="1"/>
    <x v="53"/>
    <x v="3"/>
    <x v="1"/>
    <n v="19715"/>
    <n v="1014"/>
    <n v="718"/>
    <n v="1185"/>
    <n v="37625"/>
    <n v="191409"/>
    <x v="0"/>
    <n v="0.11204802282024356"/>
  </r>
  <r>
    <s v="A19"/>
    <x v="1"/>
    <x v="93"/>
    <x v="3"/>
    <x v="2"/>
    <n v="16512"/>
    <n v="1050"/>
    <n v="971"/>
    <n v="1891"/>
    <n v="15865"/>
    <n v="166503"/>
    <x v="1"/>
    <n v="0.1113073037723044"/>
  </r>
  <r>
    <s v="A235"/>
    <x v="1"/>
    <x v="94"/>
    <x v="3"/>
    <x v="0"/>
    <n v="20117"/>
    <n v="1143"/>
    <n v="713"/>
    <n v="1739"/>
    <n v="34444"/>
    <n v="198670"/>
    <x v="4"/>
    <n v="0.11060049328031409"/>
  </r>
  <r>
    <s v="A282"/>
    <x v="1"/>
    <x v="95"/>
    <x v="1"/>
    <x v="0"/>
    <n v="22618"/>
    <n v="641"/>
    <n v="416"/>
    <n v="1530"/>
    <n v="18395"/>
    <n v="215211"/>
    <x v="4"/>
    <n v="0.1100083174187193"/>
  </r>
  <r>
    <s v="A33"/>
    <x v="1"/>
    <x v="96"/>
    <x v="2"/>
    <x v="10"/>
    <n v="10175"/>
    <n v="342"/>
    <n v="825"/>
    <n v="2904"/>
    <n v="15954"/>
    <n v="104324"/>
    <x v="2"/>
    <n v="0.10871899083624094"/>
  </r>
  <r>
    <s v="A268"/>
    <x v="1"/>
    <x v="97"/>
    <x v="2"/>
    <x v="9"/>
    <n v="24700"/>
    <n v="327"/>
    <n v="999"/>
    <n v="994"/>
    <n v="59400"/>
    <n v="243502"/>
    <x v="3"/>
    <n v="0.10688207899729776"/>
  </r>
  <r>
    <s v="A272"/>
    <x v="1"/>
    <x v="98"/>
    <x v="3"/>
    <x v="6"/>
    <n v="14819"/>
    <n v="1432"/>
    <n v="152"/>
    <n v="961"/>
    <n v="39154"/>
    <n v="154793"/>
    <x v="1"/>
    <n v="0.10596732410380315"/>
  </r>
  <r>
    <s v="A198"/>
    <x v="1"/>
    <x v="99"/>
    <x v="2"/>
    <x v="0"/>
    <n v="14772"/>
    <n v="1030"/>
    <n v="508"/>
    <n v="1876"/>
    <n v="8882"/>
    <n v="155142"/>
    <x v="2"/>
    <n v="0.10512949426976577"/>
  </r>
  <r>
    <s v="A296"/>
    <x v="1"/>
    <x v="100"/>
    <x v="2"/>
    <x v="11"/>
    <n v="3619"/>
    <n v="1376"/>
    <n v="410"/>
    <n v="2499"/>
    <n v="58146"/>
    <n v="52149"/>
    <x v="0"/>
    <n v="0.10364532397553165"/>
  </r>
  <r>
    <s v="A240"/>
    <x v="1"/>
    <x v="96"/>
    <x v="0"/>
    <x v="3"/>
    <n v="21901"/>
    <n v="1308"/>
    <n v="724"/>
    <n v="2183"/>
    <n v="15996"/>
    <n v="230961"/>
    <x v="2"/>
    <n v="0.10362355549205277"/>
  </r>
  <r>
    <s v="A243"/>
    <x v="1"/>
    <x v="101"/>
    <x v="3"/>
    <x v="10"/>
    <n v="22119"/>
    <n v="899"/>
    <n v="642"/>
    <n v="410"/>
    <n v="49490"/>
    <n v="229420"/>
    <x v="1"/>
    <n v="0.10312963124400662"/>
  </r>
  <r>
    <s v="A290"/>
    <x v="1"/>
    <x v="30"/>
    <x v="1"/>
    <x v="4"/>
    <n v="24422"/>
    <n v="327"/>
    <n v="481"/>
    <n v="2371"/>
    <n v="35340"/>
    <n v="245244"/>
    <x v="2"/>
    <n v="0.10287713460879777"/>
  </r>
  <r>
    <s v="A253"/>
    <x v="1"/>
    <x v="102"/>
    <x v="1"/>
    <x v="9"/>
    <n v="16043"/>
    <n v="595"/>
    <n v="923"/>
    <n v="1194"/>
    <n v="52613"/>
    <n v="179978"/>
    <x v="2"/>
    <n v="9.757303670448611E-2"/>
  </r>
  <r>
    <s v="A208"/>
    <x v="1"/>
    <x v="20"/>
    <x v="3"/>
    <x v="1"/>
    <n v="5596"/>
    <n v="1231"/>
    <n v="473"/>
    <n v="2251"/>
    <n v="43705"/>
    <n v="75643"/>
    <x v="0"/>
    <n v="9.6505955607260427E-2"/>
  </r>
  <r>
    <s v="A56"/>
    <x v="1"/>
    <x v="103"/>
    <x v="3"/>
    <x v="10"/>
    <n v="14775"/>
    <n v="1220"/>
    <n v="640"/>
    <n v="1547"/>
    <n v="28527"/>
    <n v="183660"/>
    <x v="4"/>
    <n v="9.0574975498203203E-2"/>
  </r>
  <r>
    <s v="A2"/>
    <x v="1"/>
    <x v="104"/>
    <x v="1"/>
    <x v="1"/>
    <n v="4779"/>
    <n v="1110"/>
    <n v="436"/>
    <n v="1574"/>
    <n v="23275"/>
    <n v="71585"/>
    <x v="2"/>
    <n v="8.8356499266606131E-2"/>
  </r>
  <r>
    <s v="A57"/>
    <x v="1"/>
    <x v="53"/>
    <x v="0"/>
    <x v="2"/>
    <n v="12015"/>
    <n v="1196"/>
    <n v="998"/>
    <n v="1848"/>
    <n v="44739"/>
    <n v="161750"/>
    <x v="4"/>
    <n v="8.7845440494590421E-2"/>
  </r>
  <r>
    <s v="A29"/>
    <x v="1"/>
    <x v="105"/>
    <x v="2"/>
    <x v="9"/>
    <n v="9266"/>
    <n v="999"/>
    <n v="928"/>
    <n v="2700"/>
    <n v="12264"/>
    <n v="128397"/>
    <x v="2"/>
    <n v="8.7174933993784898E-2"/>
  </r>
  <r>
    <s v="A259"/>
    <x v="1"/>
    <x v="106"/>
    <x v="2"/>
    <x v="1"/>
    <n v="16309"/>
    <n v="1449"/>
    <n v="838"/>
    <n v="2434"/>
    <n v="2940"/>
    <n v="217953"/>
    <x v="1"/>
    <n v="8.5321147219813445E-2"/>
  </r>
  <r>
    <s v="A25"/>
    <x v="1"/>
    <x v="107"/>
    <x v="0"/>
    <x v="8"/>
    <n v="15772"/>
    <n v="288"/>
    <n v="520"/>
    <n v="1585"/>
    <n v="59182"/>
    <n v="194351"/>
    <x v="2"/>
    <n v="8.5309568769905988E-2"/>
  </r>
  <r>
    <s v="A175"/>
    <x v="1"/>
    <x v="108"/>
    <x v="3"/>
    <x v="2"/>
    <n v="17745"/>
    <n v="414"/>
    <n v="563"/>
    <n v="2733"/>
    <n v="995"/>
    <n v="231648"/>
    <x v="2"/>
    <n v="8.0820900676889074E-2"/>
  </r>
  <r>
    <s v="A267"/>
    <x v="1"/>
    <x v="109"/>
    <x v="0"/>
    <x v="2"/>
    <n v="15746"/>
    <n v="258"/>
    <n v="839"/>
    <n v="2656"/>
    <n v="66614"/>
    <n v="213724"/>
    <x v="3"/>
    <n v="7.8807246729426739E-2"/>
  </r>
  <r>
    <s v="A116"/>
    <x v="1"/>
    <x v="110"/>
    <x v="1"/>
    <x v="8"/>
    <n v="5818"/>
    <n v="1252"/>
    <n v="687"/>
    <n v="2300"/>
    <n v="25081"/>
    <n v="101212"/>
    <x v="4"/>
    <n v="7.6641109749832043E-2"/>
  </r>
  <r>
    <s v="A233"/>
    <x v="1"/>
    <x v="111"/>
    <x v="1"/>
    <x v="7"/>
    <n v="5812"/>
    <n v="934"/>
    <n v="302"/>
    <n v="2356"/>
    <n v="37437"/>
    <n v="93551"/>
    <x v="0"/>
    <n v="7.5338585370546551E-2"/>
  </r>
  <r>
    <s v="A17"/>
    <x v="1"/>
    <x v="112"/>
    <x v="3"/>
    <x v="2"/>
    <n v="10415"/>
    <n v="1388"/>
    <n v="725"/>
    <n v="2462"/>
    <n v="23275"/>
    <n v="168267"/>
    <x v="4"/>
    <n v="7.4453101321114656E-2"/>
  </r>
  <r>
    <s v="A18"/>
    <x v="1"/>
    <x v="113"/>
    <x v="1"/>
    <x v="8"/>
    <n v="15550"/>
    <n v="204"/>
    <n v="279"/>
    <n v="1646"/>
    <n v="23275"/>
    <n v="219436"/>
    <x v="0"/>
    <n v="7.306458375107093E-2"/>
  </r>
  <r>
    <s v="A89"/>
    <x v="1"/>
    <x v="88"/>
    <x v="1"/>
    <x v="11"/>
    <n v="10017"/>
    <n v="1357"/>
    <n v="966"/>
    <n v="2871"/>
    <n v="14800"/>
    <n v="171691"/>
    <x v="2"/>
    <n v="7.1873307278774071E-2"/>
  </r>
  <r>
    <s v="A45"/>
    <x v="1"/>
    <x v="114"/>
    <x v="3"/>
    <x v="3"/>
    <n v="15456"/>
    <n v="590"/>
    <n v="555"/>
    <n v="2882"/>
    <n v="49816"/>
    <n v="240422"/>
    <x v="2"/>
    <n v="6.9049421433978589E-2"/>
  </r>
  <r>
    <s v="A37"/>
    <x v="1"/>
    <x v="115"/>
    <x v="1"/>
    <x v="5"/>
    <n v="11860"/>
    <n v="1448"/>
    <n v="893"/>
    <n v="490"/>
    <n v="23518"/>
    <n v="206205"/>
    <x v="0"/>
    <n v="6.8868359157149436E-2"/>
  </r>
  <r>
    <s v="A111"/>
    <x v="1"/>
    <x v="116"/>
    <x v="3"/>
    <x v="4"/>
    <n v="9941"/>
    <n v="1329"/>
    <n v="238"/>
    <n v="869"/>
    <n v="40281"/>
    <n v="172311"/>
    <x v="3"/>
    <n v="6.6786217943137702E-2"/>
  </r>
  <r>
    <s v="A54"/>
    <x v="1"/>
    <x v="117"/>
    <x v="2"/>
    <x v="5"/>
    <n v="6544"/>
    <n v="749"/>
    <n v="888"/>
    <n v="594"/>
    <n v="18171"/>
    <n v="126475"/>
    <x v="3"/>
    <n v="6.4684720300454635E-2"/>
  </r>
  <r>
    <s v="A15"/>
    <x v="1"/>
    <x v="86"/>
    <x v="3"/>
    <x v="5"/>
    <n v="3015"/>
    <n v="997"/>
    <n v="783"/>
    <n v="617"/>
    <n v="23275"/>
    <n v="82229"/>
    <x v="2"/>
    <n v="5.8312760704860814E-2"/>
  </r>
  <r>
    <s v="A69"/>
    <x v="1"/>
    <x v="111"/>
    <x v="3"/>
    <x v="8"/>
    <n v="10580"/>
    <n v="427"/>
    <n v="790"/>
    <n v="2814"/>
    <n v="24916"/>
    <n v="213312"/>
    <x v="4"/>
    <n v="5.530396789678968E-2"/>
  </r>
  <r>
    <s v="A113"/>
    <x v="1"/>
    <x v="118"/>
    <x v="0"/>
    <x v="6"/>
    <n v="7569"/>
    <n v="803"/>
    <n v="804"/>
    <n v="1753"/>
    <n v="43582"/>
    <n v="166945"/>
    <x v="2"/>
    <n v="5.4964209769684629E-2"/>
  </r>
  <r>
    <s v="A30"/>
    <x v="1"/>
    <x v="119"/>
    <x v="2"/>
    <x v="6"/>
    <n v="10702"/>
    <n v="621"/>
    <n v="445"/>
    <n v="2918"/>
    <n v="54808"/>
    <n v="220225"/>
    <x v="0"/>
    <n v="5.3436258372119426E-2"/>
  </r>
  <r>
    <s v="A219"/>
    <x v="1"/>
    <x v="19"/>
    <x v="2"/>
    <x v="3"/>
    <n v="9943"/>
    <n v="1274"/>
    <n v="336"/>
    <n v="389"/>
    <n v="6145"/>
    <n v="231305"/>
    <x v="0"/>
    <n v="4.9947039623008581E-2"/>
  </r>
  <r>
    <s v="A171"/>
    <x v="1"/>
    <x v="120"/>
    <x v="1"/>
    <x v="7"/>
    <n v="10717"/>
    <n v="760"/>
    <n v="460"/>
    <n v="1316"/>
    <n v="18164"/>
    <n v="240641"/>
    <x v="4"/>
    <n v="4.9605013277039242E-2"/>
  </r>
  <r>
    <s v="A130"/>
    <x v="1"/>
    <x v="121"/>
    <x v="2"/>
    <x v="1"/>
    <n v="10472"/>
    <n v="401"/>
    <n v="668"/>
    <n v="383"/>
    <n v="37571"/>
    <n v="249203"/>
    <x v="3"/>
    <n v="4.6311641513143903E-2"/>
  </r>
  <r>
    <s v="A145"/>
    <x v="1"/>
    <x v="122"/>
    <x v="2"/>
    <x v="1"/>
    <n v="8376"/>
    <n v="1154"/>
    <n v="422"/>
    <n v="1907"/>
    <n v="36874"/>
    <n v="218486"/>
    <x v="3"/>
    <n v="4.5549829279679245E-2"/>
  </r>
  <r>
    <s v="A207"/>
    <x v="1"/>
    <x v="123"/>
    <x v="2"/>
    <x v="9"/>
    <n v="8288"/>
    <n v="1401"/>
    <n v="819"/>
    <n v="1235"/>
    <n v="33446"/>
    <n v="248786"/>
    <x v="0"/>
    <n v="4.2237103373984064E-2"/>
  </r>
  <r>
    <s v="A274"/>
    <x v="1"/>
    <x v="29"/>
    <x v="0"/>
    <x v="3"/>
    <n v="8283"/>
    <n v="720"/>
    <n v="888"/>
    <n v="611"/>
    <n v="52791"/>
    <n v="235229"/>
    <x v="0"/>
    <n v="4.2048386891072105E-2"/>
  </r>
  <r>
    <s v="A141"/>
    <x v="1"/>
    <x v="124"/>
    <x v="1"/>
    <x v="10"/>
    <n v="6777"/>
    <n v="617"/>
    <n v="551"/>
    <n v="2109"/>
    <n v="18559"/>
    <n v="208452"/>
    <x v="2"/>
    <n v="3.8114290100358834E-2"/>
  </r>
  <r>
    <s v="A281"/>
    <x v="1"/>
    <x v="125"/>
    <x v="0"/>
    <x v="2"/>
    <n v="3917"/>
    <n v="865"/>
    <n v="759"/>
    <n v="2282"/>
    <n v="56125"/>
    <n v="154014"/>
    <x v="0"/>
    <n v="3.5977248821535704E-2"/>
  </r>
  <r>
    <s v="A273"/>
    <x v="1"/>
    <x v="126"/>
    <x v="1"/>
    <x v="11"/>
    <n v="6208"/>
    <n v="725"/>
    <n v="309"/>
    <n v="848"/>
    <n v="39319"/>
    <n v="225763"/>
    <x v="0"/>
    <n v="3.207788698768177E-2"/>
  </r>
  <r>
    <s v="A236"/>
    <x v="1"/>
    <x v="113"/>
    <x v="0"/>
    <x v="6"/>
    <n v="3605"/>
    <n v="206"/>
    <n v="921"/>
    <n v="852"/>
    <n v="11660"/>
    <n v="182635"/>
    <x v="1"/>
    <n v="2.590960111698196E-2"/>
  </r>
  <r>
    <s v="A78"/>
    <x v="1"/>
    <x v="127"/>
    <x v="1"/>
    <x v="3"/>
    <n v="3252"/>
    <n v="1043"/>
    <n v="647"/>
    <n v="1545"/>
    <n v="18859"/>
    <n v="222958"/>
    <x v="0"/>
    <n v="2.2165609666394567E-2"/>
  </r>
  <r>
    <s v="A167"/>
    <x v="1"/>
    <x v="8"/>
    <x v="2"/>
    <x v="2"/>
    <n v="2302"/>
    <n v="347"/>
    <n v="642"/>
    <n v="2175"/>
    <n v="56378"/>
    <n v="198056"/>
    <x v="4"/>
    <n v="1.6616512501514722E-2"/>
  </r>
  <r>
    <s v="A127"/>
    <x v="2"/>
    <x v="128"/>
    <x v="1"/>
    <x v="2"/>
    <n v="24415"/>
    <n v="860"/>
    <n v="931"/>
    <n v="320"/>
    <n v="65049"/>
    <n v="62911"/>
    <x v="0"/>
    <n v="0.41655672298962027"/>
  </r>
  <r>
    <s v="A123"/>
    <x v="2"/>
    <x v="129"/>
    <x v="0"/>
    <x v="2"/>
    <n v="17183"/>
    <n v="1224"/>
    <n v="943"/>
    <n v="2010"/>
    <n v="21481"/>
    <n v="49110"/>
    <x v="3"/>
    <n v="0.39401343921808185"/>
  </r>
  <r>
    <s v="A226"/>
    <x v="2"/>
    <x v="130"/>
    <x v="3"/>
    <x v="8"/>
    <n v="23785"/>
    <n v="1013"/>
    <n v="468"/>
    <n v="1628"/>
    <n v="8272"/>
    <n v="71348"/>
    <x v="2"/>
    <n v="0.35412345125301342"/>
  </r>
  <r>
    <s v="A231"/>
    <x v="2"/>
    <x v="107"/>
    <x v="1"/>
    <x v="3"/>
    <n v="19260"/>
    <n v="668"/>
    <n v="994"/>
    <n v="934"/>
    <n v="20509"/>
    <n v="61636"/>
    <x v="2"/>
    <n v="0.33944448049841003"/>
  </r>
  <r>
    <s v="A106"/>
    <x v="2"/>
    <x v="131"/>
    <x v="2"/>
    <x v="8"/>
    <n v="23833"/>
    <n v="555"/>
    <n v="523"/>
    <n v="1330"/>
    <n v="69141"/>
    <n v="73997"/>
    <x v="1"/>
    <n v="0.33664878305877266"/>
  </r>
  <r>
    <s v="A223"/>
    <x v="2"/>
    <x v="132"/>
    <x v="0"/>
    <x v="5"/>
    <n v="17913"/>
    <n v="1311"/>
    <n v="859"/>
    <n v="405"/>
    <n v="59842"/>
    <n v="62612"/>
    <x v="3"/>
    <n v="0.32075321024723696"/>
  </r>
  <r>
    <s v="A196"/>
    <x v="2"/>
    <x v="133"/>
    <x v="3"/>
    <x v="9"/>
    <n v="10152"/>
    <n v="1445"/>
    <n v="526"/>
    <n v="513"/>
    <n v="18959"/>
    <n v="43712"/>
    <x v="2"/>
    <n v="0.27733803074670571"/>
  </r>
  <r>
    <s v="A21"/>
    <x v="2"/>
    <x v="130"/>
    <x v="2"/>
    <x v="6"/>
    <n v="22309"/>
    <n v="773"/>
    <n v="854"/>
    <n v="2387"/>
    <n v="72396"/>
    <n v="97056"/>
    <x v="2"/>
    <n v="0.24662050774810418"/>
  </r>
  <r>
    <s v="A76"/>
    <x v="2"/>
    <x v="134"/>
    <x v="2"/>
    <x v="4"/>
    <n v="17254"/>
    <n v="246"/>
    <n v="952"/>
    <n v="871"/>
    <n v="14957"/>
    <n v="75946"/>
    <x v="4"/>
    <n v="0.24296210465330631"/>
  </r>
  <r>
    <s v="A105"/>
    <x v="2"/>
    <x v="129"/>
    <x v="2"/>
    <x v="10"/>
    <n v="21856"/>
    <n v="1203"/>
    <n v="634"/>
    <n v="2807"/>
    <n v="3647"/>
    <n v="104178"/>
    <x v="1"/>
    <n v="0.22742805582752595"/>
  </r>
  <r>
    <s v="A170"/>
    <x v="2"/>
    <x v="43"/>
    <x v="2"/>
    <x v="6"/>
    <n v="15013"/>
    <n v="1286"/>
    <n v="599"/>
    <n v="2001"/>
    <n v="67839"/>
    <n v="76059"/>
    <x v="0"/>
    <n v="0.22216963147030594"/>
  </r>
  <r>
    <s v="A187"/>
    <x v="2"/>
    <x v="94"/>
    <x v="3"/>
    <x v="11"/>
    <n v="7870"/>
    <n v="968"/>
    <n v="626"/>
    <n v="465"/>
    <n v="27184"/>
    <n v="44114"/>
    <x v="4"/>
    <n v="0.2145350682323072"/>
  </r>
  <r>
    <s v="A190"/>
    <x v="2"/>
    <x v="109"/>
    <x v="1"/>
    <x v="3"/>
    <n v="21729"/>
    <n v="1209"/>
    <n v="897"/>
    <n v="1624"/>
    <n v="38771"/>
    <n v="113297"/>
    <x v="1"/>
    <n v="0.21037626768581694"/>
  </r>
  <r>
    <s v="A251"/>
    <x v="2"/>
    <x v="135"/>
    <x v="1"/>
    <x v="3"/>
    <n v="18389"/>
    <n v="670"/>
    <n v="655"/>
    <n v="321"/>
    <n v="21869"/>
    <n v="96088"/>
    <x v="2"/>
    <n v="0.2051660977437349"/>
  </r>
  <r>
    <s v="A74"/>
    <x v="2"/>
    <x v="90"/>
    <x v="2"/>
    <x v="0"/>
    <n v="21198"/>
    <n v="1484"/>
    <n v="174"/>
    <n v="1293"/>
    <n v="16330"/>
    <n v="111635"/>
    <x v="1"/>
    <n v="0.20473865723115511"/>
  </r>
  <r>
    <s v="A246"/>
    <x v="2"/>
    <x v="136"/>
    <x v="2"/>
    <x v="10"/>
    <n v="19447"/>
    <n v="1014"/>
    <n v="256"/>
    <n v="2354"/>
    <n v="5472"/>
    <n v="104106"/>
    <x v="0"/>
    <n v="0.19899909707413599"/>
  </r>
  <r>
    <s v="A93"/>
    <x v="2"/>
    <x v="137"/>
    <x v="2"/>
    <x v="10"/>
    <n v="22645"/>
    <n v="545"/>
    <n v="972"/>
    <n v="321"/>
    <n v="8396"/>
    <n v="121537"/>
    <x v="4"/>
    <n v="0.19880365649966678"/>
  </r>
  <r>
    <s v="A97"/>
    <x v="2"/>
    <x v="138"/>
    <x v="2"/>
    <x v="11"/>
    <n v="6854"/>
    <n v="417"/>
    <n v="467"/>
    <n v="1003"/>
    <n v="61333"/>
    <n v="40281"/>
    <x v="0"/>
    <n v="0.19210049402944315"/>
  </r>
  <r>
    <s v="A23"/>
    <x v="2"/>
    <x v="45"/>
    <x v="2"/>
    <x v="2"/>
    <n v="8938"/>
    <n v="800"/>
    <n v="842"/>
    <n v="2072"/>
    <n v="31736"/>
    <n v="59975"/>
    <x v="1"/>
    <n v="0.17640683618174238"/>
  </r>
  <r>
    <s v="A158"/>
    <x v="2"/>
    <x v="139"/>
    <x v="2"/>
    <x v="1"/>
    <n v="14394"/>
    <n v="1202"/>
    <n v="188"/>
    <n v="1259"/>
    <n v="21925"/>
    <n v="94061"/>
    <x v="1"/>
    <n v="0.1678059982351878"/>
  </r>
  <r>
    <s v="A285"/>
    <x v="2"/>
    <x v="33"/>
    <x v="0"/>
    <x v="7"/>
    <n v="16594"/>
    <n v="809"/>
    <n v="784"/>
    <n v="1655"/>
    <n v="35505"/>
    <n v="112588"/>
    <x v="3"/>
    <n v="0.16153586527871533"/>
  </r>
  <r>
    <s v="A50"/>
    <x v="2"/>
    <x v="44"/>
    <x v="3"/>
    <x v="3"/>
    <n v="14338"/>
    <n v="1454"/>
    <n v="697"/>
    <n v="2703"/>
    <n v="21288"/>
    <n v="107649"/>
    <x v="1"/>
    <n v="0.1531737405828201"/>
  </r>
  <r>
    <s v="A72"/>
    <x v="2"/>
    <x v="140"/>
    <x v="2"/>
    <x v="2"/>
    <n v="24928"/>
    <n v="214"/>
    <n v="765"/>
    <n v="1556"/>
    <n v="5239"/>
    <n v="194571"/>
    <x v="4"/>
    <n v="0.13314933880177415"/>
  </r>
  <r>
    <s v="A294"/>
    <x v="2"/>
    <x v="141"/>
    <x v="2"/>
    <x v="6"/>
    <n v="20444"/>
    <n v="233"/>
    <n v="189"/>
    <n v="2879"/>
    <n v="28185"/>
    <n v="159891"/>
    <x v="1"/>
    <n v="0.13050140408153055"/>
  </r>
  <r>
    <s v="A271"/>
    <x v="2"/>
    <x v="142"/>
    <x v="0"/>
    <x v="5"/>
    <n v="18608"/>
    <n v="1338"/>
    <n v="365"/>
    <n v="2289"/>
    <n v="20785"/>
    <n v="161999"/>
    <x v="0"/>
    <n v="0.12537731714393299"/>
  </r>
  <r>
    <s v="A109"/>
    <x v="2"/>
    <x v="143"/>
    <x v="2"/>
    <x v="8"/>
    <n v="24355"/>
    <n v="1087"/>
    <n v="686"/>
    <n v="2426"/>
    <n v="24963"/>
    <n v="212307"/>
    <x v="0"/>
    <n v="0.1230670679723231"/>
  </r>
  <r>
    <s v="A66"/>
    <x v="2"/>
    <x v="144"/>
    <x v="3"/>
    <x v="8"/>
    <n v="12176"/>
    <n v="1005"/>
    <n v="862"/>
    <n v="974"/>
    <n v="2285"/>
    <n v="116619"/>
    <x v="1"/>
    <n v="0.12041777068916729"/>
  </r>
  <r>
    <s v="A228"/>
    <x v="2"/>
    <x v="145"/>
    <x v="0"/>
    <x v="5"/>
    <n v="3761"/>
    <n v="651"/>
    <n v="493"/>
    <n v="2294"/>
    <n v="71696"/>
    <n v="41177"/>
    <x v="0"/>
    <n v="0.11911989702989532"/>
  </r>
  <r>
    <s v="A107"/>
    <x v="2"/>
    <x v="146"/>
    <x v="0"/>
    <x v="0"/>
    <n v="21216"/>
    <n v="1207"/>
    <n v="859"/>
    <n v="328"/>
    <n v="91296"/>
    <n v="196683"/>
    <x v="3"/>
    <n v="0.1183732198512327"/>
  </r>
  <r>
    <s v="A95"/>
    <x v="2"/>
    <x v="147"/>
    <x v="3"/>
    <x v="0"/>
    <n v="23499"/>
    <n v="562"/>
    <n v="964"/>
    <n v="2557"/>
    <n v="56890"/>
    <n v="218686"/>
    <x v="1"/>
    <n v="0.11443347996671026"/>
  </r>
  <r>
    <s v="A27"/>
    <x v="2"/>
    <x v="148"/>
    <x v="3"/>
    <x v="10"/>
    <n v="20017"/>
    <n v="495"/>
    <n v="178"/>
    <n v="2683"/>
    <n v="32244"/>
    <n v="182633"/>
    <x v="0"/>
    <n v="0.11328730295182141"/>
  </r>
  <r>
    <s v="A71"/>
    <x v="2"/>
    <x v="47"/>
    <x v="2"/>
    <x v="0"/>
    <n v="12040"/>
    <n v="1147"/>
    <n v="210"/>
    <n v="885"/>
    <n v="30360"/>
    <n v="119530"/>
    <x v="1"/>
    <n v="0.1120806492094035"/>
  </r>
  <r>
    <s v="A225"/>
    <x v="2"/>
    <x v="149"/>
    <x v="0"/>
    <x v="8"/>
    <n v="21123"/>
    <n v="1343"/>
    <n v="589"/>
    <n v="727"/>
    <n v="87833"/>
    <n v="206703"/>
    <x v="0"/>
    <n v="0.11153684271636116"/>
  </r>
  <r>
    <s v="A258"/>
    <x v="2"/>
    <x v="63"/>
    <x v="0"/>
    <x v="7"/>
    <n v="20935"/>
    <n v="1104"/>
    <n v="876"/>
    <n v="1270"/>
    <n v="21454"/>
    <n v="208722"/>
    <x v="3"/>
    <n v="0.10978718103506099"/>
  </r>
  <r>
    <s v="A183"/>
    <x v="2"/>
    <x v="150"/>
    <x v="1"/>
    <x v="8"/>
    <n v="20030"/>
    <n v="485"/>
    <n v="888"/>
    <n v="1643"/>
    <n v="4322"/>
    <n v="196995"/>
    <x v="3"/>
    <n v="0.10864742759968526"/>
  </r>
  <r>
    <s v="A52"/>
    <x v="2"/>
    <x v="99"/>
    <x v="1"/>
    <x v="8"/>
    <n v="19100"/>
    <n v="619"/>
    <n v="297"/>
    <n v="2312"/>
    <n v="9730"/>
    <n v="184832"/>
    <x v="2"/>
    <n v="0.10829293628808864"/>
  </r>
  <r>
    <s v="A262"/>
    <x v="2"/>
    <x v="151"/>
    <x v="3"/>
    <x v="6"/>
    <n v="22673"/>
    <n v="1053"/>
    <n v="169"/>
    <n v="1566"/>
    <n v="9417"/>
    <n v="221187"/>
    <x v="1"/>
    <n v="0.10803076130152314"/>
  </r>
  <r>
    <s v="A237"/>
    <x v="2"/>
    <x v="152"/>
    <x v="2"/>
    <x v="5"/>
    <n v="7622"/>
    <n v="529"/>
    <n v="720"/>
    <n v="1015"/>
    <n v="71322"/>
    <n v="86819"/>
    <x v="4"/>
    <n v="0.10217809465669957"/>
  </r>
  <r>
    <s v="A165"/>
    <x v="2"/>
    <x v="153"/>
    <x v="2"/>
    <x v="8"/>
    <n v="19660"/>
    <n v="1307"/>
    <n v="310"/>
    <n v="2802"/>
    <n v="22171"/>
    <n v="213359"/>
    <x v="2"/>
    <n v="9.9723939463533293E-2"/>
  </r>
  <r>
    <s v="A10"/>
    <x v="2"/>
    <x v="154"/>
    <x v="0"/>
    <x v="10"/>
    <n v="20222"/>
    <n v="712"/>
    <n v="604"/>
    <n v="1272"/>
    <n v="23275"/>
    <n v="216422"/>
    <x v="3"/>
    <n v="9.9518533235992648E-2"/>
  </r>
  <r>
    <s v="A103"/>
    <x v="2"/>
    <x v="155"/>
    <x v="3"/>
    <x v="1"/>
    <n v="18521"/>
    <n v="1027"/>
    <n v="230"/>
    <n v="1247"/>
    <n v="39588"/>
    <n v="200928"/>
    <x v="2"/>
    <n v="9.8433269628921807E-2"/>
  </r>
  <r>
    <s v="A118"/>
    <x v="2"/>
    <x v="39"/>
    <x v="0"/>
    <x v="4"/>
    <n v="14234"/>
    <n v="1013"/>
    <n v="437"/>
    <n v="338"/>
    <n v="67754"/>
    <n v="160030"/>
    <x v="3"/>
    <n v="9.8006623758045364E-2"/>
  </r>
  <r>
    <s v="A114"/>
    <x v="2"/>
    <x v="156"/>
    <x v="1"/>
    <x v="5"/>
    <n v="6300"/>
    <n v="1213"/>
    <n v="720"/>
    <n v="1037"/>
    <n v="39569"/>
    <n v="85272"/>
    <x v="1"/>
    <n v="9.6549863964724647E-2"/>
  </r>
  <r>
    <s v="A35"/>
    <x v="2"/>
    <x v="157"/>
    <x v="0"/>
    <x v="2"/>
    <n v="14763"/>
    <n v="864"/>
    <n v="336"/>
    <n v="1493"/>
    <n v="33310"/>
    <n v="165932"/>
    <x v="1"/>
    <n v="9.6202058674637797E-2"/>
  </r>
  <r>
    <s v="A26"/>
    <x v="2"/>
    <x v="158"/>
    <x v="0"/>
    <x v="8"/>
    <n v="22384"/>
    <n v="601"/>
    <n v="943"/>
    <n v="515"/>
    <n v="41309"/>
    <n v="249373"/>
    <x v="0"/>
    <n v="9.5952649244304716E-2"/>
  </r>
  <r>
    <s v="A238"/>
    <x v="2"/>
    <x v="159"/>
    <x v="3"/>
    <x v="10"/>
    <n v="8767"/>
    <n v="974"/>
    <n v="733"/>
    <n v="1587"/>
    <n v="74927"/>
    <n v="113770"/>
    <x v="0"/>
    <n v="9.2062933989628198E-2"/>
  </r>
  <r>
    <s v="A266"/>
    <x v="2"/>
    <x v="160"/>
    <x v="0"/>
    <x v="10"/>
    <n v="17385"/>
    <n v="831"/>
    <n v="568"/>
    <n v="2227"/>
    <n v="49351"/>
    <n v="207450"/>
    <x v="3"/>
    <n v="9.0547119787900698E-2"/>
  </r>
  <r>
    <s v="A297"/>
    <x v="2"/>
    <x v="161"/>
    <x v="1"/>
    <x v="9"/>
    <n v="10512"/>
    <n v="1197"/>
    <n v="544"/>
    <n v="2012"/>
    <n v="10245"/>
    <n v="140102"/>
    <x v="0"/>
    <n v="8.745770938316369E-2"/>
  </r>
  <r>
    <s v="A34"/>
    <x v="2"/>
    <x v="162"/>
    <x v="3"/>
    <x v="5"/>
    <n v="17158"/>
    <n v="1192"/>
    <n v="262"/>
    <n v="2016"/>
    <n v="28771"/>
    <n v="216037"/>
    <x v="2"/>
    <n v="8.6151909163708074E-2"/>
  </r>
  <r>
    <s v="A176"/>
    <x v="2"/>
    <x v="163"/>
    <x v="2"/>
    <x v="5"/>
    <n v="18748"/>
    <n v="634"/>
    <n v="400"/>
    <n v="1667"/>
    <n v="75813"/>
    <n v="244456"/>
    <x v="2"/>
    <n v="8.0922538207284747E-2"/>
  </r>
  <r>
    <s v="A278"/>
    <x v="2"/>
    <x v="164"/>
    <x v="0"/>
    <x v="3"/>
    <n v="14607"/>
    <n v="1458"/>
    <n v="478"/>
    <n v="334"/>
    <n v="49257"/>
    <n v="214668"/>
    <x v="1"/>
    <n v="7.7063185942944451E-2"/>
  </r>
  <r>
    <s v="A209"/>
    <x v="2"/>
    <x v="165"/>
    <x v="2"/>
    <x v="0"/>
    <n v="13475"/>
    <n v="1032"/>
    <n v="295"/>
    <n v="541"/>
    <n v="43666"/>
    <n v="202396"/>
    <x v="4"/>
    <n v="7.3133856400324118E-2"/>
  </r>
  <r>
    <s v="A241"/>
    <x v="2"/>
    <x v="151"/>
    <x v="3"/>
    <x v="6"/>
    <n v="12589"/>
    <n v="346"/>
    <n v="459"/>
    <n v="1407"/>
    <n v="29254"/>
    <n v="198059"/>
    <x v="3"/>
    <n v="6.7626313371268162E-2"/>
  </r>
  <r>
    <s v="A99"/>
    <x v="2"/>
    <x v="166"/>
    <x v="2"/>
    <x v="3"/>
    <n v="12320"/>
    <n v="1157"/>
    <n v="365"/>
    <n v="584"/>
    <n v="66634"/>
    <n v="210102"/>
    <x v="1"/>
    <n v="6.5882285746922925E-2"/>
  </r>
  <r>
    <s v="A295"/>
    <x v="2"/>
    <x v="167"/>
    <x v="2"/>
    <x v="7"/>
    <n v="7287"/>
    <n v="1240"/>
    <n v="686"/>
    <n v="1255"/>
    <n v="15403"/>
    <n v="147971"/>
    <x v="0"/>
    <n v="6.2262200025680704E-2"/>
  </r>
  <r>
    <s v="A156"/>
    <x v="2"/>
    <x v="152"/>
    <x v="3"/>
    <x v="3"/>
    <n v="12478"/>
    <n v="484"/>
    <n v="332"/>
    <n v="2734"/>
    <n v="43338"/>
    <n v="213895"/>
    <x v="1"/>
    <n v="6.2151990462610156E-2"/>
  </r>
  <r>
    <s v="A28"/>
    <x v="2"/>
    <x v="14"/>
    <x v="3"/>
    <x v="4"/>
    <n v="12344"/>
    <n v="815"/>
    <n v="298"/>
    <n v="2439"/>
    <n v="6259"/>
    <n v="237133"/>
    <x v="1"/>
    <n v="5.6748744375519224E-2"/>
  </r>
  <r>
    <s v="A96"/>
    <x v="2"/>
    <x v="168"/>
    <x v="2"/>
    <x v="8"/>
    <n v="6637"/>
    <n v="595"/>
    <n v="161"/>
    <n v="2653"/>
    <n v="19334"/>
    <n v="131155"/>
    <x v="3"/>
    <n v="5.6368419046166747E-2"/>
  </r>
  <r>
    <s v="A87"/>
    <x v="2"/>
    <x v="169"/>
    <x v="3"/>
    <x v="10"/>
    <n v="11521"/>
    <n v="1071"/>
    <n v="762"/>
    <n v="2539"/>
    <n v="12701"/>
    <n v="238350"/>
    <x v="3"/>
    <n v="5.6026851269142017E-2"/>
  </r>
  <r>
    <s v="A49"/>
    <x v="2"/>
    <x v="133"/>
    <x v="2"/>
    <x v="2"/>
    <n v="4048"/>
    <n v="677"/>
    <n v="911"/>
    <n v="2429"/>
    <n v="27361"/>
    <n v="101272"/>
    <x v="2"/>
    <n v="5.5652105221581483E-2"/>
  </r>
  <r>
    <s v="A102"/>
    <x v="2"/>
    <x v="76"/>
    <x v="2"/>
    <x v="4"/>
    <n v="9043"/>
    <n v="1192"/>
    <n v="810"/>
    <n v="1550"/>
    <n v="5221"/>
    <n v="199476"/>
    <x v="2"/>
    <n v="5.5370069582305642E-2"/>
  </r>
  <r>
    <s v="A197"/>
    <x v="2"/>
    <x v="152"/>
    <x v="3"/>
    <x v="5"/>
    <n v="7750"/>
    <n v="1146"/>
    <n v="415"/>
    <n v="1411"/>
    <n v="85339"/>
    <n v="172439"/>
    <x v="3"/>
    <n v="5.3995905798572247E-2"/>
  </r>
  <r>
    <s v="A94"/>
    <x v="2"/>
    <x v="134"/>
    <x v="2"/>
    <x v="10"/>
    <n v="11550"/>
    <n v="501"/>
    <n v="646"/>
    <n v="773"/>
    <n v="17841"/>
    <n v="237576"/>
    <x v="1"/>
    <n v="5.3443950567397383E-2"/>
  </r>
  <r>
    <s v="A283"/>
    <x v="2"/>
    <x v="170"/>
    <x v="2"/>
    <x v="8"/>
    <n v="8988"/>
    <n v="228"/>
    <n v="766"/>
    <n v="652"/>
    <n v="63789"/>
    <n v="219785"/>
    <x v="3"/>
    <n v="4.541711217781013E-2"/>
  </r>
  <r>
    <s v="A90"/>
    <x v="2"/>
    <x v="171"/>
    <x v="1"/>
    <x v="2"/>
    <n v="8941"/>
    <n v="911"/>
    <n v="166"/>
    <n v="1217"/>
    <n v="68817"/>
    <n v="221180"/>
    <x v="4"/>
    <n v="4.5293426168731353E-2"/>
  </r>
  <r>
    <s v="A70"/>
    <x v="2"/>
    <x v="172"/>
    <x v="3"/>
    <x v="10"/>
    <n v="6858"/>
    <n v="415"/>
    <n v="366"/>
    <n v="2761"/>
    <n v="2988"/>
    <n v="177348"/>
    <x v="0"/>
    <n v="4.3073505198818141E-2"/>
  </r>
  <r>
    <s v="A43"/>
    <x v="2"/>
    <x v="102"/>
    <x v="3"/>
    <x v="9"/>
    <n v="6809"/>
    <n v="397"/>
    <n v="813"/>
    <n v="1125"/>
    <n v="12206"/>
    <n v="218136"/>
    <x v="2"/>
    <n v="3.6761469908680823E-2"/>
  </r>
  <r>
    <s v="A280"/>
    <x v="2"/>
    <x v="133"/>
    <x v="0"/>
    <x v="3"/>
    <n v="3828"/>
    <n v="203"/>
    <n v="506"/>
    <n v="2440"/>
    <n v="63650"/>
    <n v="126365"/>
    <x v="2"/>
    <n v="3.5903929094290347E-2"/>
  </r>
  <r>
    <s v="A201"/>
    <x v="3"/>
    <x v="173"/>
    <x v="3"/>
    <x v="4"/>
    <n v="20360"/>
    <n v="254"/>
    <n v="726"/>
    <n v="1995"/>
    <n v="14280"/>
    <n v="43726"/>
    <x v="1"/>
    <n v="0.48803915290673738"/>
  </r>
  <r>
    <s v="A13"/>
    <x v="3"/>
    <x v="174"/>
    <x v="2"/>
    <x v="3"/>
    <n v="21255"/>
    <n v="1452"/>
    <n v="625"/>
    <n v="1624"/>
    <n v="23275"/>
    <n v="57778"/>
    <x v="4"/>
    <n v="0.40382152376337016"/>
  </r>
  <r>
    <s v="A151"/>
    <x v="3"/>
    <x v="144"/>
    <x v="0"/>
    <x v="9"/>
    <n v="18282"/>
    <n v="224"/>
    <n v="962"/>
    <n v="890"/>
    <n v="35105"/>
    <n v="64089"/>
    <x v="1"/>
    <n v="0.30376507669022768"/>
  </r>
  <r>
    <s v="A5"/>
    <x v="3"/>
    <x v="175"/>
    <x v="0"/>
    <x v="7"/>
    <n v="21708"/>
    <n v="435"/>
    <n v="317"/>
    <n v="1213"/>
    <n v="23275"/>
    <n v="83585"/>
    <x v="2"/>
    <n v="0.26870850032900639"/>
  </r>
  <r>
    <s v="A220"/>
    <x v="3"/>
    <x v="176"/>
    <x v="0"/>
    <x v="1"/>
    <n v="14199"/>
    <n v="1206"/>
    <n v="954"/>
    <n v="2009"/>
    <n v="8"/>
    <n v="65537"/>
    <x v="3"/>
    <n v="0.24961472145505592"/>
  </r>
  <r>
    <s v="A51"/>
    <x v="3"/>
    <x v="70"/>
    <x v="2"/>
    <x v="8"/>
    <n v="23164"/>
    <n v="1122"/>
    <n v="900"/>
    <n v="888"/>
    <n v="36938"/>
    <n v="104674"/>
    <x v="0"/>
    <n v="0.24061371496264594"/>
  </r>
  <r>
    <s v="A61"/>
    <x v="3"/>
    <x v="177"/>
    <x v="2"/>
    <x v="9"/>
    <n v="16489"/>
    <n v="395"/>
    <n v="350"/>
    <n v="2364"/>
    <n v="43239"/>
    <n v="73397"/>
    <x v="4"/>
    <n v="0.23480523727127811"/>
  </r>
  <r>
    <s v="A286"/>
    <x v="3"/>
    <x v="99"/>
    <x v="3"/>
    <x v="8"/>
    <n v="22128"/>
    <n v="1004"/>
    <n v="690"/>
    <n v="2048"/>
    <n v="19443"/>
    <n v="103646"/>
    <x v="2"/>
    <n v="0.22984003241803833"/>
  </r>
  <r>
    <s v="A42"/>
    <x v="3"/>
    <x v="178"/>
    <x v="2"/>
    <x v="2"/>
    <n v="12916"/>
    <n v="1262"/>
    <n v="772"/>
    <n v="856"/>
    <n v="11496"/>
    <n v="75046"/>
    <x v="3"/>
    <n v="0.19921115049436347"/>
  </r>
  <r>
    <s v="A260"/>
    <x v="3"/>
    <x v="179"/>
    <x v="0"/>
    <x v="1"/>
    <n v="15234"/>
    <n v="1276"/>
    <n v="670"/>
    <n v="1860"/>
    <n v="60397"/>
    <n v="86413"/>
    <x v="4"/>
    <n v="0.19881267864788862"/>
  </r>
  <r>
    <s v="A152"/>
    <x v="3"/>
    <x v="180"/>
    <x v="0"/>
    <x v="11"/>
    <n v="12488"/>
    <n v="1403"/>
    <n v="247"/>
    <n v="1350"/>
    <n v="28370"/>
    <n v="76487"/>
    <x v="2"/>
    <n v="0.18484186855282597"/>
  </r>
  <r>
    <s v="A148"/>
    <x v="3"/>
    <x v="59"/>
    <x v="0"/>
    <x v="10"/>
    <n v="20977"/>
    <n v="1402"/>
    <n v="301"/>
    <n v="1284"/>
    <n v="24620"/>
    <n v="128009"/>
    <x v="0"/>
    <n v="0.17717504237983267"/>
  </r>
  <r>
    <s v="A139"/>
    <x v="3"/>
    <x v="181"/>
    <x v="3"/>
    <x v="2"/>
    <n v="23969"/>
    <n v="1433"/>
    <n v="372"/>
    <n v="1092"/>
    <n v="32147"/>
    <n v="145823"/>
    <x v="3"/>
    <n v="0.17674852389540743"/>
  </r>
  <r>
    <s v="A221"/>
    <x v="3"/>
    <x v="84"/>
    <x v="2"/>
    <x v="3"/>
    <n v="17728"/>
    <n v="1487"/>
    <n v="210"/>
    <n v="2469"/>
    <n v="30565"/>
    <n v="117576"/>
    <x v="0"/>
    <n v="0.16521228822208614"/>
  </r>
  <r>
    <s v="A62"/>
    <x v="3"/>
    <x v="30"/>
    <x v="1"/>
    <x v="2"/>
    <n v="18633"/>
    <n v="797"/>
    <n v="303"/>
    <n v="659"/>
    <n v="7"/>
    <n v="122189"/>
    <x v="2"/>
    <n v="0.16149571565361859"/>
  </r>
  <r>
    <s v="A189"/>
    <x v="3"/>
    <x v="182"/>
    <x v="1"/>
    <x v="4"/>
    <n v="10172"/>
    <n v="1398"/>
    <n v="394"/>
    <n v="2358"/>
    <n v="59610"/>
    <n v="76321"/>
    <x v="1"/>
    <n v="0.15675895231980713"/>
  </r>
  <r>
    <s v="A40"/>
    <x v="3"/>
    <x v="16"/>
    <x v="2"/>
    <x v="8"/>
    <n v="19844"/>
    <n v="1020"/>
    <n v="247"/>
    <n v="2354"/>
    <n v="37792"/>
    <n v="138317"/>
    <x v="2"/>
    <n v="0.15262765965138053"/>
  </r>
  <r>
    <s v="A242"/>
    <x v="3"/>
    <x v="162"/>
    <x v="0"/>
    <x v="3"/>
    <n v="15918"/>
    <n v="1114"/>
    <n v="392"/>
    <n v="1641"/>
    <n v="28044"/>
    <n v="118714"/>
    <x v="2"/>
    <n v="0.14677291642097814"/>
  </r>
  <r>
    <s v="A203"/>
    <x v="3"/>
    <x v="183"/>
    <x v="1"/>
    <x v="8"/>
    <n v="8229"/>
    <n v="977"/>
    <n v="152"/>
    <n v="1633"/>
    <n v="71447"/>
    <n v="67723"/>
    <x v="4"/>
    <n v="0.13818052950991538"/>
  </r>
  <r>
    <s v="A184"/>
    <x v="3"/>
    <x v="184"/>
    <x v="0"/>
    <x v="2"/>
    <n v="19302"/>
    <n v="1367"/>
    <n v="188"/>
    <n v="637"/>
    <n v="31404"/>
    <n v="154044"/>
    <x v="2"/>
    <n v="0.13539638025499209"/>
  </r>
  <r>
    <s v="A168"/>
    <x v="3"/>
    <x v="132"/>
    <x v="1"/>
    <x v="1"/>
    <n v="19022"/>
    <n v="541"/>
    <n v="575"/>
    <n v="2063"/>
    <n v="42743"/>
    <n v="150169"/>
    <x v="0"/>
    <n v="0.13410224480418728"/>
  </r>
  <r>
    <s v="A147"/>
    <x v="3"/>
    <x v="53"/>
    <x v="3"/>
    <x v="10"/>
    <n v="20777"/>
    <n v="962"/>
    <n v="308"/>
    <n v="2777"/>
    <n v="25529"/>
    <n v="165354"/>
    <x v="0"/>
    <n v="0.13333212380710477"/>
  </r>
  <r>
    <s v="A265"/>
    <x v="3"/>
    <x v="185"/>
    <x v="2"/>
    <x v="10"/>
    <n v="15703"/>
    <n v="1381"/>
    <n v="639"/>
    <n v="984"/>
    <n v="10967"/>
    <n v="133747"/>
    <x v="4"/>
    <n v="0.13251138343289942"/>
  </r>
  <r>
    <s v="A1"/>
    <x v="3"/>
    <x v="186"/>
    <x v="1"/>
    <x v="7"/>
    <n v="24516"/>
    <n v="976"/>
    <n v="974"/>
    <n v="2675"/>
    <n v="23275"/>
    <n v="202932"/>
    <x v="0"/>
    <n v="0.13041807107799658"/>
  </r>
  <r>
    <s v="A53"/>
    <x v="3"/>
    <x v="79"/>
    <x v="1"/>
    <x v="2"/>
    <n v="23949"/>
    <n v="356"/>
    <n v="616"/>
    <n v="1847"/>
    <n v="3144"/>
    <n v="192999"/>
    <x v="1"/>
    <n v="0.12912502137316773"/>
  </r>
  <r>
    <s v="A194"/>
    <x v="3"/>
    <x v="32"/>
    <x v="0"/>
    <x v="3"/>
    <n v="5086"/>
    <n v="1336"/>
    <n v="897"/>
    <n v="1715"/>
    <n v="60592"/>
    <n v="57772"/>
    <x v="3"/>
    <n v="0.12668766876687668"/>
  </r>
  <r>
    <s v="A135"/>
    <x v="3"/>
    <x v="8"/>
    <x v="2"/>
    <x v="10"/>
    <n v="19055"/>
    <n v="443"/>
    <n v="976"/>
    <n v="869"/>
    <n v="75437"/>
    <n v="161863"/>
    <x v="3"/>
    <n v="0.12648968572187591"/>
  </r>
  <r>
    <s v="A157"/>
    <x v="3"/>
    <x v="187"/>
    <x v="0"/>
    <x v="6"/>
    <n v="24877"/>
    <n v="262"/>
    <n v="513"/>
    <n v="648"/>
    <n v="47544"/>
    <n v="208280"/>
    <x v="3"/>
    <n v="0.12316112924908777"/>
  </r>
  <r>
    <s v="A250"/>
    <x v="3"/>
    <x v="68"/>
    <x v="3"/>
    <x v="8"/>
    <n v="7342"/>
    <n v="906"/>
    <n v="902"/>
    <n v="1199"/>
    <n v="68488"/>
    <n v="79310"/>
    <x v="0"/>
    <n v="0.1153700668263775"/>
  </r>
  <r>
    <s v="A161"/>
    <x v="3"/>
    <x v="188"/>
    <x v="0"/>
    <x v="5"/>
    <n v="22028"/>
    <n v="355"/>
    <n v="665"/>
    <n v="1859"/>
    <n v="50565"/>
    <n v="202962"/>
    <x v="2"/>
    <n v="0.11355820301337197"/>
  </r>
  <r>
    <s v="A195"/>
    <x v="3"/>
    <x v="0"/>
    <x v="1"/>
    <x v="10"/>
    <n v="15503"/>
    <n v="313"/>
    <n v="388"/>
    <n v="1078"/>
    <n v="11500"/>
    <n v="143754"/>
    <x v="1"/>
    <n v="0.1127203416948398"/>
  </r>
  <r>
    <s v="A146"/>
    <x v="3"/>
    <x v="189"/>
    <x v="3"/>
    <x v="6"/>
    <n v="18907"/>
    <n v="1075"/>
    <n v="675"/>
    <n v="1383"/>
    <n v="17875"/>
    <n v="186649"/>
    <x v="0"/>
    <n v="0.11067297440650634"/>
  </r>
  <r>
    <s v="A284"/>
    <x v="3"/>
    <x v="148"/>
    <x v="0"/>
    <x v="3"/>
    <n v="20410"/>
    <n v="1332"/>
    <n v="472"/>
    <n v="1202"/>
    <n v="9418"/>
    <n v="200806"/>
    <x v="0"/>
    <n v="0.11062418453631864"/>
  </r>
  <r>
    <s v="A180"/>
    <x v="3"/>
    <x v="190"/>
    <x v="2"/>
    <x v="8"/>
    <n v="15623"/>
    <n v="869"/>
    <n v="423"/>
    <n v="371"/>
    <n v="47579"/>
    <n v="158516"/>
    <x v="2"/>
    <n v="0.10670847106916652"/>
  </r>
  <r>
    <s v="A214"/>
    <x v="3"/>
    <x v="186"/>
    <x v="0"/>
    <x v="5"/>
    <n v="18616"/>
    <n v="1277"/>
    <n v="734"/>
    <n v="2249"/>
    <n v="3399"/>
    <n v="193515"/>
    <x v="1"/>
    <n v="0.10659122031883833"/>
  </r>
  <r>
    <s v="A86"/>
    <x v="3"/>
    <x v="128"/>
    <x v="2"/>
    <x v="10"/>
    <n v="8949"/>
    <n v="1477"/>
    <n v="424"/>
    <n v="1030"/>
    <n v="58052"/>
    <n v="123310"/>
    <x v="0"/>
    <n v="8.7989619657773091E-2"/>
  </r>
  <r>
    <s v="A55"/>
    <x v="3"/>
    <x v="127"/>
    <x v="2"/>
    <x v="7"/>
    <n v="6976"/>
    <n v="1320"/>
    <n v="393"/>
    <n v="2285"/>
    <n v="14049"/>
    <n v="101367"/>
    <x v="4"/>
    <n v="8.5718231771681114E-2"/>
  </r>
  <r>
    <s v="A215"/>
    <x v="3"/>
    <x v="21"/>
    <x v="0"/>
    <x v="6"/>
    <n v="8371"/>
    <n v="960"/>
    <n v="548"/>
    <n v="2936"/>
    <n v="82543"/>
    <n v="119973"/>
    <x v="2"/>
    <n v="8.2343527293641069E-2"/>
  </r>
  <r>
    <s v="A212"/>
    <x v="3"/>
    <x v="140"/>
    <x v="0"/>
    <x v="7"/>
    <n v="9561"/>
    <n v="642"/>
    <n v="581"/>
    <n v="2572"/>
    <n v="38552"/>
    <n v="133680"/>
    <x v="0"/>
    <n v="8.0670257330939563E-2"/>
  </r>
  <r>
    <s v="A191"/>
    <x v="3"/>
    <x v="191"/>
    <x v="2"/>
    <x v="6"/>
    <n v="9673"/>
    <n v="393"/>
    <n v="846"/>
    <n v="1028"/>
    <n v="55556"/>
    <n v="136652"/>
    <x v="2"/>
    <n v="7.9852471972601938E-2"/>
  </r>
  <r>
    <s v="A59"/>
    <x v="3"/>
    <x v="68"/>
    <x v="1"/>
    <x v="8"/>
    <n v="16430"/>
    <n v="488"/>
    <n v="514"/>
    <n v="1436"/>
    <n v="30059"/>
    <n v="223305"/>
    <x v="1"/>
    <n v="7.8063634938760881E-2"/>
  </r>
  <r>
    <s v="A124"/>
    <x v="3"/>
    <x v="42"/>
    <x v="3"/>
    <x v="6"/>
    <n v="8238"/>
    <n v="766"/>
    <n v="235"/>
    <n v="1273"/>
    <n v="4706"/>
    <n v="119141"/>
    <x v="1"/>
    <n v="7.7546772311798629E-2"/>
  </r>
  <r>
    <s v="A101"/>
    <x v="3"/>
    <x v="192"/>
    <x v="2"/>
    <x v="1"/>
    <n v="6892"/>
    <n v="1184"/>
    <n v="925"/>
    <n v="1062"/>
    <n v="75008"/>
    <n v="116260"/>
    <x v="4"/>
    <n v="7.7421297092723204E-2"/>
  </r>
  <r>
    <s v="A11"/>
    <x v="3"/>
    <x v="193"/>
    <x v="2"/>
    <x v="0"/>
    <n v="12136"/>
    <n v="1117"/>
    <n v="834"/>
    <n v="892"/>
    <n v="23275"/>
    <n v="183273"/>
    <x v="3"/>
    <n v="7.6863476889667326E-2"/>
  </r>
  <r>
    <s v="A112"/>
    <x v="3"/>
    <x v="194"/>
    <x v="2"/>
    <x v="1"/>
    <n v="16388"/>
    <n v="1208"/>
    <n v="417"/>
    <n v="2306"/>
    <n v="16865"/>
    <n v="236733"/>
    <x v="0"/>
    <n v="7.6089940988370866E-2"/>
  </r>
  <r>
    <s v="A211"/>
    <x v="3"/>
    <x v="80"/>
    <x v="1"/>
    <x v="9"/>
    <n v="11795"/>
    <n v="958"/>
    <n v="814"/>
    <n v="301"/>
    <n v="12564"/>
    <n v="179999"/>
    <x v="2"/>
    <n v="7.5372640959116444E-2"/>
  </r>
  <r>
    <s v="A239"/>
    <x v="3"/>
    <x v="105"/>
    <x v="1"/>
    <x v="1"/>
    <n v="13613"/>
    <n v="350"/>
    <n v="809"/>
    <n v="2013"/>
    <n v="20471"/>
    <n v="198038"/>
    <x v="2"/>
    <n v="7.4591745018632791E-2"/>
  </r>
  <r>
    <s v="A177"/>
    <x v="3"/>
    <x v="195"/>
    <x v="1"/>
    <x v="6"/>
    <n v="8809"/>
    <n v="1151"/>
    <n v="908"/>
    <n v="883"/>
    <n v="42921"/>
    <n v="151279"/>
    <x v="4"/>
    <n v="7.1840771025720687E-2"/>
  </r>
  <r>
    <s v="A192"/>
    <x v="3"/>
    <x v="196"/>
    <x v="1"/>
    <x v="8"/>
    <n v="8882"/>
    <n v="701"/>
    <n v="421"/>
    <n v="2343"/>
    <n v="13588"/>
    <n v="139304"/>
    <x v="2"/>
    <n v="7.1814161833113191E-2"/>
  </r>
  <r>
    <s v="A115"/>
    <x v="3"/>
    <x v="197"/>
    <x v="3"/>
    <x v="7"/>
    <n v="8269"/>
    <n v="250"/>
    <n v="638"/>
    <n v="815"/>
    <n v="41991"/>
    <n v="129393"/>
    <x v="2"/>
    <n v="7.0768897853825175E-2"/>
  </r>
  <r>
    <s v="A257"/>
    <x v="3"/>
    <x v="42"/>
    <x v="2"/>
    <x v="2"/>
    <n v="15917"/>
    <n v="1479"/>
    <n v="196"/>
    <n v="313"/>
    <n v="48524"/>
    <n v="249684"/>
    <x v="1"/>
    <n v="7.0457057720959296E-2"/>
  </r>
  <r>
    <s v="A222"/>
    <x v="3"/>
    <x v="198"/>
    <x v="3"/>
    <x v="9"/>
    <n v="8738"/>
    <n v="295"/>
    <n v="529"/>
    <n v="442"/>
    <n v="25286"/>
    <n v="147522"/>
    <x v="1"/>
    <n v="6.4817450956467515E-2"/>
  </r>
  <r>
    <s v="A154"/>
    <x v="3"/>
    <x v="199"/>
    <x v="0"/>
    <x v="10"/>
    <n v="7240"/>
    <n v="1384"/>
    <n v="954"/>
    <n v="2335"/>
    <n v="6757"/>
    <n v="150448"/>
    <x v="3"/>
    <n v="6.3663192598106988E-2"/>
  </r>
  <r>
    <s v="A85"/>
    <x v="3"/>
    <x v="23"/>
    <x v="1"/>
    <x v="3"/>
    <n v="8881"/>
    <n v="210"/>
    <n v="673"/>
    <n v="1565"/>
    <n v="24847"/>
    <n v="156891"/>
    <x v="3"/>
    <n v="6.223429004850501E-2"/>
  </r>
  <r>
    <s v="A270"/>
    <x v="3"/>
    <x v="173"/>
    <x v="3"/>
    <x v="1"/>
    <n v="11333"/>
    <n v="920"/>
    <n v="294"/>
    <n v="606"/>
    <n v="59490"/>
    <n v="202082"/>
    <x v="3"/>
    <n v="6.2088657079799291E-2"/>
  </r>
  <r>
    <s v="A169"/>
    <x v="3"/>
    <x v="200"/>
    <x v="1"/>
    <x v="3"/>
    <n v="2055"/>
    <n v="675"/>
    <n v="257"/>
    <n v="820"/>
    <n v="33534"/>
    <n v="48125"/>
    <x v="0"/>
    <n v="6.2067532467532466E-2"/>
  </r>
  <r>
    <s v="A81"/>
    <x v="3"/>
    <x v="201"/>
    <x v="2"/>
    <x v="0"/>
    <n v="6673"/>
    <n v="826"/>
    <n v="321"/>
    <n v="577"/>
    <n v="19262"/>
    <n v="132324"/>
    <x v="4"/>
    <n v="5.9097367068710133E-2"/>
  </r>
  <r>
    <s v="A48"/>
    <x v="3"/>
    <x v="154"/>
    <x v="2"/>
    <x v="7"/>
    <n v="7997"/>
    <n v="1238"/>
    <n v="438"/>
    <n v="1874"/>
    <n v="36272"/>
    <n v="165818"/>
    <x v="4"/>
    <n v="5.8335042034037318E-2"/>
  </r>
  <r>
    <s v="A20"/>
    <x v="3"/>
    <x v="202"/>
    <x v="0"/>
    <x v="5"/>
    <n v="6158"/>
    <n v="277"/>
    <n v="512"/>
    <n v="2189"/>
    <n v="76881"/>
    <n v="124878"/>
    <x v="1"/>
    <n v="5.563029516808405E-2"/>
  </r>
  <r>
    <s v="A12"/>
    <x v="3"/>
    <x v="78"/>
    <x v="3"/>
    <x v="1"/>
    <n v="2009"/>
    <n v="1072"/>
    <n v="550"/>
    <n v="1437"/>
    <n v="23275"/>
    <n v="69426"/>
    <x v="1"/>
    <n v="5.2300290957278256E-2"/>
  </r>
  <r>
    <s v="A269"/>
    <x v="3"/>
    <x v="203"/>
    <x v="3"/>
    <x v="9"/>
    <n v="8469"/>
    <n v="935"/>
    <n v="211"/>
    <n v="2635"/>
    <n v="21890"/>
    <n v="184539"/>
    <x v="4"/>
    <n v="5.2102807536618279E-2"/>
  </r>
  <r>
    <s v="A9"/>
    <x v="3"/>
    <x v="204"/>
    <x v="2"/>
    <x v="1"/>
    <n v="6804"/>
    <n v="787"/>
    <n v="970"/>
    <n v="1095"/>
    <n v="23275"/>
    <n v="164677"/>
    <x v="0"/>
    <n v="5.1986616224487935E-2"/>
  </r>
  <r>
    <s v="A200"/>
    <x v="3"/>
    <x v="205"/>
    <x v="2"/>
    <x v="6"/>
    <n v="3062"/>
    <n v="1124"/>
    <n v="538"/>
    <n v="2935"/>
    <n v="69749"/>
    <n v="91924"/>
    <x v="1"/>
    <n v="5.1390278926069365E-2"/>
  </r>
  <r>
    <s v="A65"/>
    <x v="3"/>
    <x v="77"/>
    <x v="3"/>
    <x v="7"/>
    <n v="6363"/>
    <n v="1341"/>
    <n v="222"/>
    <n v="2712"/>
    <n v="19987"/>
    <n v="160585"/>
    <x v="3"/>
    <n v="4.9357038328611019E-2"/>
  </r>
  <r>
    <s v="A298"/>
    <x v="3"/>
    <x v="80"/>
    <x v="3"/>
    <x v="10"/>
    <n v="3342"/>
    <n v="787"/>
    <n v="375"/>
    <n v="907"/>
    <n v="85823"/>
    <n v="99189"/>
    <x v="2"/>
    <n v="4.5408260996683103E-2"/>
  </r>
  <r>
    <s v="A256"/>
    <x v="3"/>
    <x v="114"/>
    <x v="2"/>
    <x v="3"/>
    <n v="2117"/>
    <n v="1133"/>
    <n v="203"/>
    <n v="1173"/>
    <n v="40125"/>
    <n v="85379"/>
    <x v="2"/>
    <n v="4.0443200318579509E-2"/>
  </r>
  <r>
    <s v="A182"/>
    <x v="3"/>
    <x v="24"/>
    <x v="0"/>
    <x v="5"/>
    <n v="7122"/>
    <n v="628"/>
    <n v="757"/>
    <n v="2313"/>
    <n v="50924"/>
    <n v="210954"/>
    <x v="4"/>
    <n v="4.0326327066564277E-2"/>
  </r>
  <r>
    <s v="A79"/>
    <x v="3"/>
    <x v="25"/>
    <x v="0"/>
    <x v="11"/>
    <n v="8996"/>
    <n v="329"/>
    <n v="378"/>
    <n v="2384"/>
    <n v="39404"/>
    <n v="242724"/>
    <x v="2"/>
    <n v="3.9975445361810122E-2"/>
  </r>
  <r>
    <s v="A14"/>
    <x v="3"/>
    <x v="206"/>
    <x v="3"/>
    <x v="8"/>
    <n v="7124"/>
    <n v="469"/>
    <n v="851"/>
    <n v="2571"/>
    <n v="23275"/>
    <n v="216313"/>
    <x v="2"/>
    <n v="3.9036026498638549E-2"/>
  </r>
  <r>
    <s v="A178"/>
    <x v="3"/>
    <x v="207"/>
    <x v="2"/>
    <x v="5"/>
    <n v="6621"/>
    <n v="922"/>
    <n v="930"/>
    <n v="694"/>
    <n v="839"/>
    <n v="243532"/>
    <x v="2"/>
    <n v="3.479214230573395E-2"/>
  </r>
  <r>
    <s v="A110"/>
    <x v="3"/>
    <x v="7"/>
    <x v="0"/>
    <x v="8"/>
    <n v="6164"/>
    <n v="326"/>
    <n v="615"/>
    <n v="2806"/>
    <n v="38579"/>
    <n v="206129"/>
    <x v="4"/>
    <n v="3.4468706489625425E-2"/>
  </r>
  <r>
    <s v="A292"/>
    <x v="3"/>
    <x v="208"/>
    <x v="2"/>
    <x v="3"/>
    <n v="4219"/>
    <n v="240"/>
    <n v="670"/>
    <n v="815"/>
    <n v="11978"/>
    <n v="159735"/>
    <x v="1"/>
    <n v="3.2109431245500357E-2"/>
  </r>
  <r>
    <s v="A173"/>
    <x v="3"/>
    <x v="209"/>
    <x v="3"/>
    <x v="2"/>
    <n v="4125"/>
    <n v="1364"/>
    <n v="319"/>
    <n v="2848"/>
    <n v="15379"/>
    <n v="188159"/>
    <x v="4"/>
    <n v="3.0867510988047343E-2"/>
  </r>
  <r>
    <s v="A245"/>
    <x v="3"/>
    <x v="210"/>
    <x v="1"/>
    <x v="0"/>
    <n v="4590"/>
    <n v="713"/>
    <n v="479"/>
    <n v="2730"/>
    <n v="41050"/>
    <n v="204246"/>
    <x v="3"/>
    <n v="2.8308999931455206E-2"/>
  </r>
  <r>
    <s v="A41"/>
    <x v="3"/>
    <x v="135"/>
    <x v="3"/>
    <x v="1"/>
    <n v="5636"/>
    <n v="303"/>
    <n v="204"/>
    <n v="2480"/>
    <n v="7377"/>
    <n v="241207"/>
    <x v="2"/>
    <n v="2.5467751765081443E-2"/>
  </r>
  <r>
    <s v="A188"/>
    <x v="3"/>
    <x v="169"/>
    <x v="2"/>
    <x v="11"/>
    <n v="3531"/>
    <n v="789"/>
    <n v="467"/>
    <n v="1867"/>
    <n v="40816"/>
    <n v="236037"/>
    <x v="3"/>
    <n v="2.0280718700881641E-2"/>
  </r>
  <r>
    <s v="A4"/>
    <x v="3"/>
    <x v="122"/>
    <x v="0"/>
    <x v="0"/>
    <n v="3581"/>
    <n v="517"/>
    <n v="880"/>
    <n v="1925"/>
    <n v="23275"/>
    <n v="248611"/>
    <x v="1"/>
    <n v="2.0023249172401864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287"/>
    <x v="0"/>
    <s v="2024-08-15"/>
    <x v="0"/>
    <x v="0"/>
    <x v="0"/>
    <n v="14977"/>
    <n v="274"/>
    <n v="798"/>
    <n v="458"/>
    <n v="6636"/>
    <n v="43654"/>
    <s v="Apple Watch Ultra 2 Launch"/>
    <n v="0.36764099509781462"/>
  </r>
  <r>
    <s v="A185"/>
    <x v="0"/>
    <s v="2025-01-11"/>
    <x v="1"/>
    <x v="1"/>
    <x v="1"/>
    <n v="21181"/>
    <n v="1242"/>
    <n v="963"/>
    <n v="1689"/>
    <n v="49329"/>
    <n v="69165"/>
    <s v="Apple Watch Ultra 2 Launch"/>
    <n v="0.33811899081905589"/>
  </r>
  <r>
    <s v="A254"/>
    <x v="0"/>
    <s v="2025-01-14"/>
    <x v="2"/>
    <x v="0"/>
    <x v="2"/>
    <n v="24350"/>
    <n v="460"/>
    <n v="666"/>
    <n v="814"/>
    <n v="21120"/>
    <n v="76914"/>
    <s v="Apple Watch Ultra 2 Launch"/>
    <n v="0.33122708479600593"/>
  </r>
  <r>
    <s v="A140"/>
    <x v="0"/>
    <s v="2024-07-15"/>
    <x v="3"/>
    <x v="2"/>
    <x v="3"/>
    <n v="14891"/>
    <n v="674"/>
    <n v="521"/>
    <n v="1091"/>
    <n v="18101"/>
    <n v="53669"/>
    <s v="Apple Watch Ultra 2 Launch"/>
    <n v="0.29972609886526674"/>
  </r>
  <r>
    <s v="A83"/>
    <x v="0"/>
    <s v="2024-10-15"/>
    <x v="2"/>
    <x v="3"/>
    <x v="4"/>
    <n v="17781"/>
    <n v="993"/>
    <n v="627"/>
    <n v="2187"/>
    <n v="9609"/>
    <n v="66155"/>
    <s v="iPhone 16 Launch"/>
    <n v="0.29326581513113142"/>
  </r>
  <r>
    <s v="A136"/>
    <x v="0"/>
    <d v="2025-10-02T00:00:00"/>
    <x v="2"/>
    <x v="4"/>
    <x v="5"/>
    <n v="12161"/>
    <n v="736"/>
    <n v="876"/>
    <n v="1233"/>
    <n v="21337"/>
    <n v="50225"/>
    <s v="Apple Event September 2025"/>
    <n v="0.27422598307615731"/>
  </r>
  <r>
    <s v="A244"/>
    <x v="0"/>
    <d v="2025-09-13T00:00:00"/>
    <x v="0"/>
    <x v="5"/>
    <x v="6"/>
    <n v="15046"/>
    <n v="281"/>
    <n v="515"/>
    <n v="550"/>
    <n v="22583"/>
    <n v="64596"/>
    <s v="Apple Event September 2025"/>
    <n v="0.24524738373893121"/>
  </r>
  <r>
    <s v="A216"/>
    <x v="0"/>
    <s v="2024-07-29"/>
    <x v="3"/>
    <x v="6"/>
    <x v="7"/>
    <n v="22590"/>
    <n v="1462"/>
    <n v="966"/>
    <n v="2463"/>
    <n v="29689"/>
    <n v="103449"/>
    <s v="Sustainability Awareness Drive"/>
    <n v="0.24183897379385011"/>
  </r>
  <r>
    <s v="A289"/>
    <x v="0"/>
    <s v="2024-11-28"/>
    <x v="2"/>
    <x v="2"/>
    <x v="3"/>
    <n v="18644"/>
    <n v="1369"/>
    <n v="887"/>
    <n v="1256"/>
    <n v="43415"/>
    <n v="88368"/>
    <s v="Sustainability Awareness Drive"/>
    <n v="0.23651095419156257"/>
  </r>
  <r>
    <s v="A186"/>
    <x v="0"/>
    <s v="2024-08-24"/>
    <x v="0"/>
    <x v="4"/>
    <x v="5"/>
    <n v="24890"/>
    <n v="217"/>
    <n v="178"/>
    <n v="906"/>
    <n v="54826"/>
    <n v="107203"/>
    <s v="Sustainability Awareness Drive"/>
    <n v="0.23586093672751696"/>
  </r>
  <r>
    <s v="A68"/>
    <x v="0"/>
    <s v="2024-12-08"/>
    <x v="0"/>
    <x v="1"/>
    <x v="1"/>
    <n v="10427"/>
    <n v="1014"/>
    <n v="166"/>
    <n v="1649"/>
    <n v="15145"/>
    <n v="59816"/>
    <s v="Sustainability Awareness Drive"/>
    <n v="0.19404507155276179"/>
  </r>
  <r>
    <s v="A230"/>
    <x v="0"/>
    <s v="2024-07-15"/>
    <x v="0"/>
    <x v="3"/>
    <x v="4"/>
    <n v="12554"/>
    <n v="381"/>
    <n v="211"/>
    <n v="2286"/>
    <n v="50567"/>
    <n v="72779"/>
    <s v="Apple Watch Ultra 2 Launch"/>
    <n v="0.18062902760411656"/>
  </r>
  <r>
    <s v="A125"/>
    <x v="0"/>
    <s v="2024-09-08"/>
    <x v="2"/>
    <x v="6"/>
    <x v="7"/>
    <n v="8090"/>
    <n v="570"/>
    <n v="399"/>
    <n v="1862"/>
    <n v="34088"/>
    <n v="52115"/>
    <s v="Apple Watch Ultra 2 Launch"/>
    <n v="0.17382711311522595"/>
  </r>
  <r>
    <s v="A73"/>
    <x v="0"/>
    <d v="2025-09-21T00:00:00"/>
    <x v="0"/>
    <x v="6"/>
    <x v="7"/>
    <n v="23103"/>
    <n v="1380"/>
    <n v="191"/>
    <n v="1547"/>
    <n v="77798"/>
    <n v="148856"/>
    <s v="Apple Event September 2025"/>
    <n v="0.16575751061428495"/>
  </r>
  <r>
    <s v="A75"/>
    <x v="0"/>
    <s v="2024-08-01"/>
    <x v="1"/>
    <x v="4"/>
    <x v="5"/>
    <n v="21758"/>
    <n v="1380"/>
    <n v="188"/>
    <n v="1735"/>
    <n v="20998"/>
    <n v="147803"/>
    <s v="MacBook Air M3 Campaign"/>
    <n v="0.15781817689762725"/>
  </r>
  <r>
    <s v="A132"/>
    <x v="0"/>
    <s v="2025-03-04"/>
    <x v="0"/>
    <x v="1"/>
    <x v="1"/>
    <n v="5266"/>
    <n v="316"/>
    <n v="837"/>
    <n v="2276"/>
    <n v="20967"/>
    <n v="41969"/>
    <s v="MacBook Air M3 Campaign"/>
    <n v="0.1529462222116324"/>
  </r>
  <r>
    <s v="A264"/>
    <x v="0"/>
    <s v="2025-01-30"/>
    <x v="3"/>
    <x v="5"/>
    <x v="6"/>
    <n v="12954"/>
    <n v="913"/>
    <n v="722"/>
    <n v="1049"/>
    <n v="475"/>
    <n v="97716"/>
    <s v="Apple Watch Ultra 2 Launch"/>
    <n v="0.14930001228048631"/>
  </r>
  <r>
    <s v="A248"/>
    <x v="0"/>
    <d v="2025-09-14T00:00:00"/>
    <x v="2"/>
    <x v="0"/>
    <x v="2"/>
    <n v="12787"/>
    <n v="945"/>
    <n v="974"/>
    <n v="1407"/>
    <n v="4037"/>
    <n v="99182"/>
    <s v="Apple Event September 2025"/>
    <n v="0.14827287209372669"/>
  </r>
  <r>
    <s v="A155"/>
    <x v="0"/>
    <s v="2024-12-21"/>
    <x v="1"/>
    <x v="6"/>
    <x v="7"/>
    <n v="12453"/>
    <n v="376"/>
    <n v="320"/>
    <n v="2546"/>
    <n v="22617"/>
    <n v="90138"/>
    <s v="Sustainability Awareness Drive"/>
    <n v="0.14587632297144379"/>
  </r>
  <r>
    <s v="A88"/>
    <x v="0"/>
    <s v="2024-07-07"/>
    <x v="3"/>
    <x v="1"/>
    <x v="1"/>
    <n v="24625"/>
    <n v="749"/>
    <n v="193"/>
    <n v="1340"/>
    <n v="4890"/>
    <n v="189381"/>
    <s v="Apple Watch Ultra 2 Launch"/>
    <n v="0.13500298340382616"/>
  </r>
  <r>
    <s v="A39"/>
    <x v="0"/>
    <d v="2025-09-13T00:00:00"/>
    <x v="2"/>
    <x v="2"/>
    <x v="3"/>
    <n v="17106"/>
    <n v="702"/>
    <n v="459"/>
    <n v="999"/>
    <n v="59627"/>
    <n v="136059"/>
    <s v="Apple Event September 2025"/>
    <n v="0.13425793222058077"/>
  </r>
  <r>
    <s v="A60"/>
    <x v="0"/>
    <s v="2025-01-28"/>
    <x v="3"/>
    <x v="7"/>
    <x v="8"/>
    <n v="9239"/>
    <n v="1477"/>
    <n v="631"/>
    <n v="1556"/>
    <n v="11580"/>
    <n v="84738"/>
    <s v="Sustainability Awareness Drive"/>
    <n v="0.13390686586891359"/>
  </r>
  <r>
    <s v="A7"/>
    <x v="0"/>
    <s v="2024-06-24"/>
    <x v="2"/>
    <x v="2"/>
    <x v="3"/>
    <n v="7713"/>
    <n v="575"/>
    <n v="417"/>
    <n v="336"/>
    <n v="23275"/>
    <n v="66017"/>
    <s v="iPhone 16 Launch"/>
    <n v="0.13185997546086614"/>
  </r>
  <r>
    <s v="A100"/>
    <x v="0"/>
    <d v="2025-09-25T00:00:00"/>
    <x v="1"/>
    <x v="3"/>
    <x v="4"/>
    <n v="20564"/>
    <n v="1433"/>
    <n v="488"/>
    <n v="1015"/>
    <n v="24333"/>
    <n v="172130"/>
    <s v="Apple Event September 2025"/>
    <n v="0.13062801371056759"/>
  </r>
  <r>
    <s v="A138"/>
    <x v="0"/>
    <s v="2025-03-29"/>
    <x v="2"/>
    <x v="4"/>
    <x v="5"/>
    <n v="23508"/>
    <n v="585"/>
    <n v="743"/>
    <n v="2155"/>
    <n v="3704"/>
    <n v="194268"/>
    <s v="iPhone 16 Launch"/>
    <n v="0.1278440093067309"/>
  </r>
  <r>
    <s v="A36"/>
    <x v="0"/>
    <s v="2025-04-19"/>
    <x v="2"/>
    <x v="8"/>
    <x v="4"/>
    <n v="20384"/>
    <n v="344"/>
    <n v="956"/>
    <n v="655"/>
    <n v="67621"/>
    <n v="175720"/>
    <s v="Sustainability Awareness Drive"/>
    <n v="0.12340086501251991"/>
  </r>
  <r>
    <s v="A63"/>
    <x v="0"/>
    <s v="2024-07-31"/>
    <x v="1"/>
    <x v="6"/>
    <x v="7"/>
    <n v="12357"/>
    <n v="716"/>
    <n v="599"/>
    <n v="999"/>
    <n v="89591"/>
    <n v="116367"/>
    <s v="Apple Watch Ultra 2 Launch"/>
    <n v="0.11749035379446063"/>
  </r>
  <r>
    <s v="A204"/>
    <x v="0"/>
    <d v="2025-09-22T00:00:00"/>
    <x v="2"/>
    <x v="3"/>
    <x v="4"/>
    <n v="18509"/>
    <n v="361"/>
    <n v="578"/>
    <n v="1409"/>
    <n v="10569"/>
    <n v="166969"/>
    <s v="Apple Event September 2025"/>
    <n v="0.11647671124580011"/>
  </r>
  <r>
    <s v="A128"/>
    <x v="0"/>
    <s v="2025-01-10"/>
    <x v="2"/>
    <x v="5"/>
    <x v="6"/>
    <n v="14647"/>
    <n v="1168"/>
    <n v="484"/>
    <n v="2650"/>
    <n v="27217"/>
    <n v="144061"/>
    <s v="iPhone 16 Launch"/>
    <n v="0.11313957281984714"/>
  </r>
  <r>
    <s v="A159"/>
    <x v="0"/>
    <d v="2025-10-05T00:00:00"/>
    <x v="3"/>
    <x v="2"/>
    <x v="3"/>
    <n v="21262"/>
    <n v="861"/>
    <n v="676"/>
    <n v="2263"/>
    <n v="12085"/>
    <n v="201731"/>
    <s v="Apple Event September 2025"/>
    <n v="0.11301683925623726"/>
  </r>
  <r>
    <s v="A3"/>
    <x v="0"/>
    <s v="2025-05-12"/>
    <x v="3"/>
    <x v="4"/>
    <x v="5"/>
    <n v="19308"/>
    <n v="1318"/>
    <n v="795"/>
    <n v="1499"/>
    <n v="23275"/>
    <n v="193087"/>
    <s v="Sustainability Awareness Drive"/>
    <n v="0.11093962825047776"/>
  </r>
  <r>
    <s v="A153"/>
    <x v="0"/>
    <s v="2025-01-01"/>
    <x v="0"/>
    <x v="1"/>
    <x v="1"/>
    <n v="24574"/>
    <n v="909"/>
    <n v="280"/>
    <n v="2009"/>
    <n v="6221"/>
    <n v="236910"/>
    <s v="MacBook Air M3 Campaign"/>
    <n v="0.10874593727575872"/>
  </r>
  <r>
    <s v="A199"/>
    <x v="0"/>
    <d v="2025-09-20T00:00:00"/>
    <x v="1"/>
    <x v="7"/>
    <x v="8"/>
    <n v="12267"/>
    <n v="1487"/>
    <n v="489"/>
    <n v="2748"/>
    <n v="34685"/>
    <n v="131736"/>
    <s v="Apple Event September 2025"/>
    <n v="0.1081177506528208"/>
  </r>
  <r>
    <s v="A166"/>
    <x v="0"/>
    <s v="2025-02-16"/>
    <x v="3"/>
    <x v="0"/>
    <x v="2"/>
    <n v="24195"/>
    <n v="888"/>
    <n v="165"/>
    <n v="1559"/>
    <n v="11596"/>
    <n v="249988"/>
    <s v="Sustainability Awareness Drive"/>
    <n v="0.10099684784869674"/>
  </r>
  <r>
    <s v="A122"/>
    <x v="0"/>
    <s v="2024-10-02"/>
    <x v="0"/>
    <x v="5"/>
    <x v="6"/>
    <n v="9350"/>
    <n v="1024"/>
    <n v="550"/>
    <n v="2123"/>
    <n v="53916"/>
    <n v="108785"/>
    <s v="Sustainability Awareness Drive"/>
    <n v="0.10041825619340902"/>
  </r>
  <r>
    <s v="A249"/>
    <x v="0"/>
    <s v="2024-07-18"/>
    <x v="0"/>
    <x v="8"/>
    <x v="4"/>
    <n v="11111"/>
    <n v="1222"/>
    <n v="367"/>
    <n v="507"/>
    <n v="14129"/>
    <n v="127163"/>
    <s v="MacBook Air M3 Campaign"/>
    <n v="9.9871818060284834E-2"/>
  </r>
  <r>
    <s v="A263"/>
    <x v="0"/>
    <s v="2024-08-20"/>
    <x v="3"/>
    <x v="3"/>
    <x v="4"/>
    <n v="2846"/>
    <n v="792"/>
    <n v="902"/>
    <n v="2469"/>
    <n v="12130"/>
    <n v="47151"/>
    <s v="Apple Watch Ultra 2 Launch"/>
    <n v="9.6286399015927546E-2"/>
  </r>
  <r>
    <s v="A179"/>
    <x v="0"/>
    <s v="2024-07-15"/>
    <x v="1"/>
    <x v="0"/>
    <x v="2"/>
    <n v="17034"/>
    <n v="231"/>
    <n v="290"/>
    <n v="1387"/>
    <n v="63550"/>
    <n v="198280"/>
    <s v="MacBook Air M3 Campaign"/>
    <n v="8.8536413153116805E-2"/>
  </r>
  <r>
    <s v="A137"/>
    <x v="0"/>
    <s v="2024-07-31"/>
    <x v="2"/>
    <x v="0"/>
    <x v="0"/>
    <n v="13314"/>
    <n v="274"/>
    <n v="626"/>
    <n v="2280"/>
    <n v="14639"/>
    <n v="163008"/>
    <s v="iPhone 16 Launch"/>
    <n v="8.7198174322732622E-2"/>
  </r>
  <r>
    <s v="A64"/>
    <x v="0"/>
    <s v="2024-08-17"/>
    <x v="0"/>
    <x v="3"/>
    <x v="4"/>
    <n v="19154"/>
    <n v="1064"/>
    <n v="650"/>
    <n v="747"/>
    <n v="42667"/>
    <n v="242332"/>
    <s v="Sustainability Awareness Drive"/>
    <n v="8.6113266097750191E-2"/>
  </r>
  <r>
    <s v="A213"/>
    <x v="0"/>
    <s v="2025-05-01"/>
    <x v="3"/>
    <x v="9"/>
    <x v="9"/>
    <n v="10258"/>
    <n v="527"/>
    <n v="854"/>
    <n v="2068"/>
    <n v="45632"/>
    <n v="136546"/>
    <s v="MacBook Air M3 Campaign"/>
    <n v="8.5238674146441498E-2"/>
  </r>
  <r>
    <s v="A255"/>
    <x v="0"/>
    <s v="2025-04-03"/>
    <x v="1"/>
    <x v="10"/>
    <x v="10"/>
    <n v="10837"/>
    <n v="1004"/>
    <n v="922"/>
    <n v="1108"/>
    <n v="36807"/>
    <n v="150350"/>
    <s v="Sustainability Awareness Drive"/>
    <n v="8.4888593282341204E-2"/>
  </r>
  <r>
    <s v="A8"/>
    <x v="0"/>
    <s v="2024-07-13"/>
    <x v="0"/>
    <x v="7"/>
    <x v="8"/>
    <n v="18639"/>
    <n v="1360"/>
    <n v="898"/>
    <n v="2011"/>
    <n v="23275"/>
    <n v="247779"/>
    <s v="iPhone 16 Launch"/>
    <n v="8.4337252148083575E-2"/>
  </r>
  <r>
    <s v="A117"/>
    <x v="0"/>
    <s v="2024-11-04"/>
    <x v="1"/>
    <x v="0"/>
    <x v="2"/>
    <n v="14015"/>
    <n v="978"/>
    <n v="196"/>
    <n v="2744"/>
    <n v="20190"/>
    <n v="186470"/>
    <s v="Sustainability Awareness Drive"/>
    <n v="8.1455462004611998E-2"/>
  </r>
  <r>
    <s v="A172"/>
    <x v="0"/>
    <s v="2024-08-14"/>
    <x v="2"/>
    <x v="10"/>
    <x v="10"/>
    <n v="10150"/>
    <n v="526"/>
    <n v="888"/>
    <n v="1313"/>
    <n v="51605"/>
    <n v="143409"/>
    <s v="Apple Watch Ultra 2 Launch"/>
    <n v="8.0636501195880311E-2"/>
  </r>
  <r>
    <s v="A227"/>
    <x v="0"/>
    <s v="2024-06-12"/>
    <x v="3"/>
    <x v="1"/>
    <x v="1"/>
    <n v="17679"/>
    <n v="690"/>
    <n v="451"/>
    <n v="2195"/>
    <n v="4390"/>
    <n v="235804"/>
    <s v="MacBook Air M3 Campaign"/>
    <n v="7.9812047293514959E-2"/>
  </r>
  <r>
    <s v="A277"/>
    <x v="0"/>
    <s v="2025-04-06"/>
    <x v="1"/>
    <x v="8"/>
    <x v="4"/>
    <n v="14941"/>
    <n v="1424"/>
    <n v="238"/>
    <n v="1054"/>
    <n v="20516"/>
    <n v="216048"/>
    <s v="MacBook Air M3 Campaign"/>
    <n v="7.6848663260016298E-2"/>
  </r>
  <r>
    <s v="A252"/>
    <x v="0"/>
    <s v="2025-04-28"/>
    <x v="2"/>
    <x v="0"/>
    <x v="2"/>
    <n v="10659"/>
    <n v="1342"/>
    <n v="408"/>
    <n v="709"/>
    <n v="16309"/>
    <n v="168803"/>
    <s v="Sustainability Awareness Drive"/>
    <n v="7.3511726687321907E-2"/>
  </r>
  <r>
    <s v="A229"/>
    <x v="0"/>
    <s v="2024-07-03"/>
    <x v="0"/>
    <x v="1"/>
    <x v="1"/>
    <n v="12167"/>
    <n v="364"/>
    <n v="160"/>
    <n v="616"/>
    <n v="42228"/>
    <n v="175832"/>
    <s v="Sustainability Awareness Drive"/>
    <n v="7.2176850630146963E-2"/>
  </r>
  <r>
    <s v="A291"/>
    <x v="0"/>
    <s v="2024-11-06"/>
    <x v="1"/>
    <x v="2"/>
    <x v="3"/>
    <n v="11865"/>
    <n v="241"/>
    <n v="319"/>
    <n v="703"/>
    <n v="69596"/>
    <n v="177513"/>
    <s v="iPhone 16 Launch"/>
    <n v="6.999487361489018E-2"/>
  </r>
  <r>
    <s v="A299"/>
    <x v="0"/>
    <d v="2025-09-25T00:00:00"/>
    <x v="2"/>
    <x v="5"/>
    <x v="6"/>
    <n v="12568"/>
    <n v="541"/>
    <n v="273"/>
    <n v="2767"/>
    <n v="22331"/>
    <n v="192747"/>
    <s v="Apple Event September 2025"/>
    <n v="6.9427799135654514E-2"/>
  </r>
  <r>
    <s v="A162"/>
    <x v="0"/>
    <s v="2025-04-01"/>
    <x v="1"/>
    <x v="2"/>
    <x v="3"/>
    <n v="6432"/>
    <n v="1272"/>
    <n v="498"/>
    <n v="677"/>
    <n v="47305"/>
    <n v="119134"/>
    <s v="Apple Watch Ultra 2 Launch"/>
    <n v="6.8846844729464299E-2"/>
  </r>
  <r>
    <s v="A279"/>
    <x v="0"/>
    <s v="2024-09-02"/>
    <x v="0"/>
    <x v="0"/>
    <x v="0"/>
    <n v="11765"/>
    <n v="693"/>
    <n v="729"/>
    <n v="744"/>
    <n v="97772"/>
    <n v="194243"/>
    <s v="Apple Watch Ultra 2 Launch"/>
    <n v="6.7889190344053579E-2"/>
  </r>
  <r>
    <s v="A218"/>
    <x v="0"/>
    <s v="2024-06-11"/>
    <x v="0"/>
    <x v="8"/>
    <x v="4"/>
    <n v="14910"/>
    <n v="778"/>
    <n v="289"/>
    <n v="2541"/>
    <n v="14309"/>
    <n v="247815"/>
    <s v="Sustainability Awareness Drive"/>
    <n v="6.4471480741682297E-2"/>
  </r>
  <r>
    <s v="A210"/>
    <x v="0"/>
    <s v="2025-02-19"/>
    <x v="0"/>
    <x v="9"/>
    <x v="9"/>
    <n v="8168"/>
    <n v="512"/>
    <n v="442"/>
    <n v="2343"/>
    <n v="2753"/>
    <n v="143896"/>
    <s v="MacBook Air M3 Campaign"/>
    <n v="6.3393006059932172E-2"/>
  </r>
  <r>
    <s v="A149"/>
    <x v="0"/>
    <s v="2024-06-16"/>
    <x v="3"/>
    <x v="6"/>
    <x v="7"/>
    <n v="12160"/>
    <n v="1405"/>
    <n v="769"/>
    <n v="1980"/>
    <n v="33174"/>
    <n v="226481"/>
    <s v="Apple Watch Ultra 2 Launch"/>
    <n v="6.329007731332871E-2"/>
  </r>
  <r>
    <s v="A288"/>
    <x v="0"/>
    <s v="2025-04-17"/>
    <x v="3"/>
    <x v="7"/>
    <x v="8"/>
    <n v="2009"/>
    <n v="1037"/>
    <n v="344"/>
    <n v="2277"/>
    <n v="85743"/>
    <n v="58743"/>
    <s v="iPhone 16 Launch"/>
    <n v="5.7709003625963942E-2"/>
  </r>
  <r>
    <s v="A32"/>
    <x v="0"/>
    <s v="2024-07-31"/>
    <x v="1"/>
    <x v="0"/>
    <x v="2"/>
    <n v="2404"/>
    <n v="774"/>
    <n v="661"/>
    <n v="662"/>
    <n v="12676"/>
    <n v="66916"/>
    <s v="Apple Watch Ultra 2 Launch"/>
    <n v="5.7370434574690654E-2"/>
  </r>
  <r>
    <s v="A133"/>
    <x v="0"/>
    <s v="2025-02-06"/>
    <x v="1"/>
    <x v="6"/>
    <x v="7"/>
    <n v="2666"/>
    <n v="1136"/>
    <n v="989"/>
    <n v="1710"/>
    <n v="36467"/>
    <n v="83753"/>
    <s v="Sustainability Awareness Drive"/>
    <n v="5.7203921053574198E-2"/>
  </r>
  <r>
    <s v="A120"/>
    <x v="0"/>
    <s v="2024-10-21"/>
    <x v="0"/>
    <x v="0"/>
    <x v="0"/>
    <n v="8254"/>
    <n v="1405"/>
    <n v="165"/>
    <n v="2504"/>
    <n v="8081"/>
    <n v="177710"/>
    <s v="Apple Watch Ultra 2 Launch"/>
    <n v="5.5281075910190762E-2"/>
  </r>
  <r>
    <s v="A293"/>
    <x v="0"/>
    <s v="2025-05-14"/>
    <x v="1"/>
    <x v="0"/>
    <x v="2"/>
    <n v="9041"/>
    <n v="1133"/>
    <n v="612"/>
    <n v="1687"/>
    <n v="28102"/>
    <n v="195683"/>
    <s v="iPhone 16 Launch"/>
    <n v="5.5119760020032396E-2"/>
  </r>
  <r>
    <s v="A31"/>
    <x v="0"/>
    <s v="2024-12-16"/>
    <x v="1"/>
    <x v="0"/>
    <x v="0"/>
    <n v="2384"/>
    <n v="1246"/>
    <n v="160"/>
    <n v="2004"/>
    <n v="2701"/>
    <n v="73142"/>
    <s v="Apple Watch Ultra 2 Launch"/>
    <n v="5.1817013480626728E-2"/>
  </r>
  <r>
    <s v="A22"/>
    <x v="0"/>
    <d v="2025-02-27T00:00:00"/>
    <x v="1"/>
    <x v="2"/>
    <x v="3"/>
    <n v="8970"/>
    <n v="331"/>
    <n v="968"/>
    <n v="2296"/>
    <n v="24613"/>
    <n v="198562"/>
    <s v="iPhone 16 Launch"/>
    <n v="5.1716844109144754E-2"/>
  </r>
  <r>
    <s v="A261"/>
    <x v="0"/>
    <s v="2024-10-27"/>
    <x v="2"/>
    <x v="6"/>
    <x v="7"/>
    <n v="7560"/>
    <n v="1139"/>
    <n v="248"/>
    <n v="1624"/>
    <n v="72237"/>
    <n v="177084"/>
    <s v="Sustainability Awareness Drive"/>
    <n v="5.0524045085947912E-2"/>
  </r>
  <r>
    <s v="A16"/>
    <x v="0"/>
    <s v="2024-08-26"/>
    <x v="2"/>
    <x v="7"/>
    <x v="8"/>
    <n v="4193"/>
    <n v="924"/>
    <n v="707"/>
    <n v="2696"/>
    <n v="23275"/>
    <n v="126652"/>
    <s v="iPhone 16 Launch"/>
    <n v="4.5984271863057827E-2"/>
  </r>
  <r>
    <s v="A58"/>
    <x v="0"/>
    <s v="2025-04-15"/>
    <x v="2"/>
    <x v="4"/>
    <x v="5"/>
    <n v="5419"/>
    <n v="1150"/>
    <n v="656"/>
    <n v="1990"/>
    <n v="410"/>
    <n v="158154"/>
    <s v="Sustainability Awareness Drive"/>
    <n v="4.5683321319726342E-2"/>
  </r>
  <r>
    <s v="A134"/>
    <x v="0"/>
    <d v="2025-10-01T00:00:00"/>
    <x v="2"/>
    <x v="3"/>
    <x v="4"/>
    <n v="6188"/>
    <n v="774"/>
    <n v="647"/>
    <n v="1830"/>
    <n v="55436"/>
    <n v="175542"/>
    <s v="Apple Event September 2025"/>
    <n v="4.3345752013763089E-2"/>
  </r>
  <r>
    <s v="A38"/>
    <x v="0"/>
    <s v="2025-02-17"/>
    <x v="3"/>
    <x v="1"/>
    <x v="1"/>
    <n v="7989"/>
    <n v="1206"/>
    <n v="376"/>
    <n v="2769"/>
    <n v="27550"/>
    <n v="221749"/>
    <s v="Sustainability Awareness Drive"/>
    <n v="4.3161412227338117E-2"/>
  </r>
  <r>
    <s v="A142"/>
    <x v="0"/>
    <s v="2025-03-25"/>
    <x v="2"/>
    <x v="4"/>
    <x v="5"/>
    <n v="5900"/>
    <n v="546"/>
    <n v="592"/>
    <n v="1594"/>
    <n v="38627"/>
    <n v="164398"/>
    <s v="MacBook Air M3 Campaign"/>
    <n v="4.2810739790021778E-2"/>
  </r>
  <r>
    <s v="A206"/>
    <x v="0"/>
    <s v="2024-06-24"/>
    <x v="1"/>
    <x v="0"/>
    <x v="2"/>
    <n v="6632"/>
    <n v="254"/>
    <n v="525"/>
    <n v="1013"/>
    <n v="13838"/>
    <n v="180180"/>
    <s v="Apple Watch Ultra 2 Launch"/>
    <n v="4.1131091131091133E-2"/>
  </r>
  <r>
    <s v="A275"/>
    <x v="0"/>
    <s v="2024-08-05"/>
    <x v="3"/>
    <x v="7"/>
    <x v="8"/>
    <n v="4048"/>
    <n v="751"/>
    <n v="930"/>
    <n v="1382"/>
    <n v="16844"/>
    <n v="148177"/>
    <s v="iPhone 16 Launch"/>
    <n v="3.8663220337839206E-2"/>
  </r>
  <r>
    <s v="A181"/>
    <x v="0"/>
    <d v="2025-10-12T00:00:00"/>
    <x v="2"/>
    <x v="7"/>
    <x v="8"/>
    <n v="7126"/>
    <n v="484"/>
    <n v="565"/>
    <n v="573"/>
    <n v="7389"/>
    <n v="237096"/>
    <s v="Apple Event September 2025"/>
    <n v="3.4479704423524646E-2"/>
  </r>
  <r>
    <s v="A247"/>
    <x v="0"/>
    <s v="2024-08-27"/>
    <x v="1"/>
    <x v="8"/>
    <x v="4"/>
    <n v="6324"/>
    <n v="908"/>
    <n v="375"/>
    <n v="758"/>
    <n v="34850"/>
    <n v="241039"/>
    <s v="Apple Watch Ultra 2 Launch"/>
    <n v="3.1559208260903839E-2"/>
  </r>
  <r>
    <s v="A193"/>
    <x v="0"/>
    <s v="2024-09-11"/>
    <x v="1"/>
    <x v="7"/>
    <x v="8"/>
    <n v="3906"/>
    <n v="1187"/>
    <n v="589"/>
    <n v="401"/>
    <n v="52687"/>
    <n v="196498"/>
    <s v="Apple Watch Ultra 2 Launch"/>
    <n v="2.8916324848090057E-2"/>
  </r>
  <r>
    <s v="A82"/>
    <x v="1"/>
    <s v="2024-07-24"/>
    <x v="0"/>
    <x v="2"/>
    <x v="3"/>
    <n v="22914"/>
    <n v="954"/>
    <n v="584"/>
    <n v="1519"/>
    <n v="13637"/>
    <n v="49847"/>
    <s v="Apple Watch Ultra 2 Launch"/>
    <n v="0.49054105563022848"/>
  </r>
  <r>
    <s v="A121"/>
    <x v="1"/>
    <s v="2024-07-29"/>
    <x v="0"/>
    <x v="6"/>
    <x v="7"/>
    <n v="19144"/>
    <n v="1182"/>
    <n v="860"/>
    <n v="1398"/>
    <n v="4185"/>
    <n v="46570"/>
    <s v="Apple Watch Ultra 2 Launch"/>
    <n v="0.454928065278076"/>
  </r>
  <r>
    <s v="A174"/>
    <x v="1"/>
    <s v="2024-06-22"/>
    <x v="2"/>
    <x v="6"/>
    <x v="7"/>
    <n v="13479"/>
    <n v="1189"/>
    <n v="695"/>
    <n v="416"/>
    <n v="30229"/>
    <n v="45704"/>
    <s v="Apple Watch Ultra 2 Launch"/>
    <n v="0.33614125678277612"/>
  </r>
  <r>
    <s v="A164"/>
    <x v="1"/>
    <s v="2025-02-27"/>
    <x v="1"/>
    <x v="1"/>
    <x v="1"/>
    <n v="16178"/>
    <n v="1048"/>
    <n v="871"/>
    <n v="2553"/>
    <n v="39025"/>
    <n v="59508"/>
    <s v="Apple Watch Ultra 2 Launch"/>
    <n v="0.30411037171472743"/>
  </r>
  <r>
    <s v="A80"/>
    <x v="1"/>
    <s v="2024-06-13"/>
    <x v="1"/>
    <x v="6"/>
    <x v="7"/>
    <n v="14173"/>
    <n v="294"/>
    <n v="257"/>
    <n v="1288"/>
    <n v="39466"/>
    <n v="55563"/>
    <s v="MacBook Air M3 Campaign"/>
    <n v="0.26499649047027696"/>
  </r>
  <r>
    <s v="A150"/>
    <x v="1"/>
    <s v="2024-08-22"/>
    <x v="0"/>
    <x v="5"/>
    <x v="6"/>
    <n v="16124"/>
    <n v="863"/>
    <n v="337"/>
    <n v="819"/>
    <n v="85788"/>
    <n v="68625"/>
    <s v="iPhone 16 Launch"/>
    <n v="0.25244444444444447"/>
  </r>
  <r>
    <s v="A6"/>
    <x v="1"/>
    <d v="2025-09-05T00:00:00"/>
    <x v="1"/>
    <x v="3"/>
    <x v="4"/>
    <n v="14677"/>
    <n v="533"/>
    <n v="759"/>
    <n v="753"/>
    <n v="23275"/>
    <n v="66958"/>
    <s v="Apple Event September 2025"/>
    <n v="0.23849278652289496"/>
  </r>
  <r>
    <s v="A119"/>
    <x v="1"/>
    <s v="2025-02-07"/>
    <x v="2"/>
    <x v="10"/>
    <x v="10"/>
    <n v="20290"/>
    <n v="619"/>
    <n v="927"/>
    <n v="1186"/>
    <n v="8924"/>
    <n v="96503"/>
    <s v="MacBook Air M3 Campaign"/>
    <n v="0.22627275835984373"/>
  </r>
  <r>
    <s v="A46"/>
    <x v="1"/>
    <s v="2025-05-02"/>
    <x v="3"/>
    <x v="0"/>
    <x v="2"/>
    <n v="17444"/>
    <n v="1402"/>
    <n v="218"/>
    <n v="725"/>
    <n v="8710"/>
    <n v="85893"/>
    <s v="MacBook Air M3 Campaign"/>
    <n v="0.22195056640238436"/>
  </r>
  <r>
    <s v="A163"/>
    <x v="1"/>
    <s v="2025-04-08"/>
    <x v="0"/>
    <x v="6"/>
    <x v="7"/>
    <n v="15568"/>
    <n v="1166"/>
    <n v="546"/>
    <n v="826"/>
    <n v="21836"/>
    <n v="87055"/>
    <s v="Apple Watch Ultra 2 Launch"/>
    <n v="0.19849520418126471"/>
  </r>
  <r>
    <s v="A300"/>
    <x v="1"/>
    <d v="2025-09-26T00:00:00"/>
    <x v="0"/>
    <x v="9"/>
    <x v="9"/>
    <n v="21216"/>
    <n v="226"/>
    <n v="187"/>
    <n v="1573"/>
    <n v="62688"/>
    <n v="111031"/>
    <s v="Apple Event September 2025"/>
    <n v="0.19480145184678152"/>
  </r>
  <r>
    <s v="A126"/>
    <x v="1"/>
    <s v="2025-03-28"/>
    <x v="1"/>
    <x v="7"/>
    <x v="8"/>
    <n v="13637"/>
    <n v="1135"/>
    <n v="540"/>
    <n v="1288"/>
    <n v="45183"/>
    <n v="79062"/>
    <s v="MacBook Air M3 Campaign"/>
    <n v="0.19367079001290127"/>
  </r>
  <r>
    <s v="A129"/>
    <x v="1"/>
    <s v="2024-07-21"/>
    <x v="1"/>
    <x v="0"/>
    <x v="0"/>
    <n v="11911"/>
    <n v="1360"/>
    <n v="778"/>
    <n v="1168"/>
    <n v="16483"/>
    <n v="72556"/>
    <s v="Sustainability Awareness Drive"/>
    <n v="0.19362974805667346"/>
  </r>
  <r>
    <s v="A47"/>
    <x v="1"/>
    <s v="2025-02-24"/>
    <x v="3"/>
    <x v="9"/>
    <x v="9"/>
    <n v="24984"/>
    <n v="753"/>
    <n v="461"/>
    <n v="2710"/>
    <n v="20792"/>
    <n v="141520"/>
    <s v="Sustainability Awareness Drive"/>
    <n v="0.18511871113623515"/>
  </r>
  <r>
    <s v="A91"/>
    <x v="1"/>
    <d v="2025-09-24T00:00:00"/>
    <x v="3"/>
    <x v="2"/>
    <x v="3"/>
    <n v="12209"/>
    <n v="222"/>
    <n v="479"/>
    <n v="2748"/>
    <n v="24615"/>
    <n v="74707"/>
    <s v="Apple Event September 2025"/>
    <n v="0.17280843829895459"/>
  </r>
  <r>
    <s v="A44"/>
    <x v="1"/>
    <s v="2025-03-02"/>
    <x v="0"/>
    <x v="5"/>
    <x v="6"/>
    <n v="22562"/>
    <n v="778"/>
    <n v="907"/>
    <n v="1354"/>
    <n v="34475"/>
    <n v="141459"/>
    <s v="iPhone 16 Launch"/>
    <n v="0.17140655596321194"/>
  </r>
  <r>
    <s v="A276"/>
    <x v="1"/>
    <s v="2024-06-07"/>
    <x v="0"/>
    <x v="0"/>
    <x v="0"/>
    <n v="8233"/>
    <n v="436"/>
    <n v="269"/>
    <n v="2037"/>
    <n v="8875"/>
    <n v="52289"/>
    <s v="Apple Watch Ultra 2 Launch"/>
    <n v="0.17093461339861157"/>
  </r>
  <r>
    <s v="A160"/>
    <x v="1"/>
    <s v="2024-08-24"/>
    <x v="3"/>
    <x v="5"/>
    <x v="6"/>
    <n v="22527"/>
    <n v="865"/>
    <n v="646"/>
    <n v="992"/>
    <n v="18654"/>
    <n v="141376"/>
    <s v="MacBook Air M3 Campaign"/>
    <n v="0.17002885921231325"/>
  </r>
  <r>
    <s v="A202"/>
    <x v="1"/>
    <d v="2025-09-21T00:00:00"/>
    <x v="1"/>
    <x v="10"/>
    <x v="10"/>
    <n v="19680"/>
    <n v="999"/>
    <n v="838"/>
    <n v="891"/>
    <n v="29576"/>
    <n v="129152"/>
    <s v="Apple Event September 2025"/>
    <n v="0.16660214321110009"/>
  </r>
  <r>
    <s v="A77"/>
    <x v="1"/>
    <s v="2025-03-04"/>
    <x v="2"/>
    <x v="9"/>
    <x v="9"/>
    <n v="13470"/>
    <n v="523"/>
    <n v="280"/>
    <n v="2682"/>
    <n v="8538"/>
    <n v="95204"/>
    <s v="Apple Watch Ultra 2 Launch"/>
    <n v="0.14992017142136885"/>
  </r>
  <r>
    <s v="A108"/>
    <x v="1"/>
    <d v="2025-09-28T00:00:00"/>
    <x v="2"/>
    <x v="7"/>
    <x v="8"/>
    <n v="21963"/>
    <n v="1356"/>
    <n v="349"/>
    <n v="1206"/>
    <n v="51755"/>
    <n v="159273"/>
    <s v="Apple Event September 2025"/>
    <n v="0.14860020216860359"/>
  </r>
  <r>
    <s v="A104"/>
    <x v="1"/>
    <s v="2025-03-23"/>
    <x v="1"/>
    <x v="4"/>
    <x v="5"/>
    <n v="24711"/>
    <n v="882"/>
    <n v="876"/>
    <n v="2728"/>
    <n v="32015"/>
    <n v="180272"/>
    <s v="iPhone 16 Launch"/>
    <n v="0.1468281263867933"/>
  </r>
  <r>
    <s v="A232"/>
    <x v="1"/>
    <s v="2025-04-29"/>
    <x v="2"/>
    <x v="7"/>
    <x v="8"/>
    <n v="16277"/>
    <n v="1109"/>
    <n v="375"/>
    <n v="2225"/>
    <n v="1044"/>
    <n v="121889"/>
    <s v="iPhone 16 Launch"/>
    <n v="0.14571454356012437"/>
  </r>
  <r>
    <s v="A224"/>
    <x v="1"/>
    <d v="2025-09-07T00:00:00"/>
    <x v="3"/>
    <x v="10"/>
    <x v="10"/>
    <n v="4472"/>
    <n v="1301"/>
    <n v="956"/>
    <n v="1186"/>
    <n v="3363"/>
    <n v="46471"/>
    <s v="Apple Event September 2025"/>
    <n v="0.14479998278496267"/>
  </r>
  <r>
    <s v="A67"/>
    <x v="1"/>
    <s v="2025-03-29"/>
    <x v="0"/>
    <x v="7"/>
    <x v="8"/>
    <n v="19461"/>
    <n v="1382"/>
    <n v="445"/>
    <n v="1307"/>
    <n v="84691"/>
    <n v="151453"/>
    <s v="iPhone 16 Launch"/>
    <n v="0.14055845707909384"/>
  </r>
  <r>
    <s v="A84"/>
    <x v="1"/>
    <s v="2024-12-09"/>
    <x v="1"/>
    <x v="1"/>
    <x v="1"/>
    <n v="15051"/>
    <n v="268"/>
    <n v="251"/>
    <n v="783"/>
    <n v="34154"/>
    <n v="119671"/>
    <s v="iPhone 16 Launch"/>
    <n v="0.13010670922779954"/>
  </r>
  <r>
    <s v="A205"/>
    <x v="1"/>
    <d v="2025-09-23T00:00:00"/>
    <x v="3"/>
    <x v="0"/>
    <x v="2"/>
    <n v="17147"/>
    <n v="286"/>
    <n v="291"/>
    <n v="2439"/>
    <n v="45631"/>
    <n v="140494"/>
    <s v="Apple Event September 2025"/>
    <n v="0.12615485358805359"/>
  </r>
  <r>
    <s v="A24"/>
    <x v="1"/>
    <s v="2025-01-23"/>
    <x v="0"/>
    <x v="9"/>
    <x v="9"/>
    <n v="23168"/>
    <n v="1265"/>
    <n v="441"/>
    <n v="1612"/>
    <n v="66615"/>
    <n v="197795"/>
    <s v="iPhone 16 Launch"/>
    <n v="0.12575646502692181"/>
  </r>
  <r>
    <s v="A131"/>
    <x v="1"/>
    <s v="2024-10-21"/>
    <x v="1"/>
    <x v="9"/>
    <x v="9"/>
    <n v="20271"/>
    <n v="512"/>
    <n v="286"/>
    <n v="1982"/>
    <n v="43225"/>
    <n v="168335"/>
    <s v="iPhone 16 Launch"/>
    <n v="0.12516113701844536"/>
  </r>
  <r>
    <s v="A144"/>
    <x v="1"/>
    <s v="2024-10-28"/>
    <x v="2"/>
    <x v="5"/>
    <x v="6"/>
    <n v="8981"/>
    <n v="1138"/>
    <n v="764"/>
    <n v="2555"/>
    <n v="92810"/>
    <n v="88320"/>
    <s v="MacBook Air M3 Campaign"/>
    <n v="0.1232223731884058"/>
  </r>
  <r>
    <s v="A217"/>
    <x v="1"/>
    <d v="2025-09-26T00:00:00"/>
    <x v="2"/>
    <x v="6"/>
    <x v="7"/>
    <n v="16369"/>
    <n v="1452"/>
    <n v="493"/>
    <n v="1217"/>
    <n v="91440"/>
    <n v="149834"/>
    <s v="Apple Event September 2025"/>
    <n v="0.12222859965027964"/>
  </r>
  <r>
    <s v="A234"/>
    <x v="1"/>
    <s v="2024-06-01"/>
    <x v="1"/>
    <x v="2"/>
    <x v="3"/>
    <n v="19844"/>
    <n v="1022"/>
    <n v="860"/>
    <n v="2570"/>
    <n v="23719"/>
    <n v="182628"/>
    <s v="Sustainability Awareness Drive"/>
    <n v="0.11896313818253498"/>
  </r>
  <r>
    <s v="A143"/>
    <x v="1"/>
    <s v="2024-10-02"/>
    <x v="1"/>
    <x v="4"/>
    <x v="5"/>
    <n v="15716"/>
    <n v="839"/>
    <n v="639"/>
    <n v="2839"/>
    <n v="349"/>
    <n v="150677"/>
    <s v="Sustainability Awareness Drive"/>
    <n v="0.11411164278556117"/>
  </r>
  <r>
    <s v="A98"/>
    <x v="1"/>
    <s v="2024-06-10"/>
    <x v="0"/>
    <x v="2"/>
    <x v="3"/>
    <n v="21561"/>
    <n v="340"/>
    <n v="741"/>
    <n v="986"/>
    <n v="24826"/>
    <n v="198492"/>
    <s v="Apple Watch Ultra 2 Launch"/>
    <n v="0.11407008846704149"/>
  </r>
  <r>
    <s v="A92"/>
    <x v="1"/>
    <s v="2024-10-21"/>
    <x v="3"/>
    <x v="1"/>
    <x v="1"/>
    <n v="19715"/>
    <n v="1014"/>
    <n v="718"/>
    <n v="1185"/>
    <n v="37625"/>
    <n v="191409"/>
    <s v="Apple Watch Ultra 2 Launch"/>
    <n v="0.11204802282024356"/>
  </r>
  <r>
    <s v="A19"/>
    <x v="1"/>
    <s v="2024-06-23"/>
    <x v="3"/>
    <x v="0"/>
    <x v="2"/>
    <n v="16512"/>
    <n v="1050"/>
    <n v="971"/>
    <n v="1891"/>
    <n v="15865"/>
    <n v="166503"/>
    <s v="iPhone 16 Launch"/>
    <n v="0.1113073037723044"/>
  </r>
  <r>
    <s v="A235"/>
    <x v="1"/>
    <s v="2024-12-22"/>
    <x v="3"/>
    <x v="0"/>
    <x v="0"/>
    <n v="20117"/>
    <n v="1143"/>
    <n v="713"/>
    <n v="1739"/>
    <n v="34444"/>
    <n v="198670"/>
    <s v="MacBook Air M3 Campaign"/>
    <n v="0.11060049328031409"/>
  </r>
  <r>
    <s v="A282"/>
    <x v="1"/>
    <s v="2024-10-03"/>
    <x v="1"/>
    <x v="0"/>
    <x v="0"/>
    <n v="22618"/>
    <n v="641"/>
    <n v="416"/>
    <n v="1530"/>
    <n v="18395"/>
    <n v="215211"/>
    <s v="MacBook Air M3 Campaign"/>
    <n v="0.1100083174187193"/>
  </r>
  <r>
    <s v="A33"/>
    <x v="1"/>
    <d v="2025-09-11T00:00:00"/>
    <x v="2"/>
    <x v="9"/>
    <x v="9"/>
    <n v="10175"/>
    <n v="342"/>
    <n v="825"/>
    <n v="2904"/>
    <n v="15954"/>
    <n v="104324"/>
    <s v="Apple Event September 2025"/>
    <n v="0.10871899083624094"/>
  </r>
  <r>
    <s v="A268"/>
    <x v="1"/>
    <s v="2025-04-13"/>
    <x v="2"/>
    <x v="8"/>
    <x v="4"/>
    <n v="24700"/>
    <n v="327"/>
    <n v="999"/>
    <n v="994"/>
    <n v="59400"/>
    <n v="243502"/>
    <s v="Sustainability Awareness Drive"/>
    <n v="0.10688207899729776"/>
  </r>
  <r>
    <s v="A272"/>
    <x v="1"/>
    <s v="2025-03-27"/>
    <x v="3"/>
    <x v="5"/>
    <x v="6"/>
    <n v="14819"/>
    <n v="1432"/>
    <n v="152"/>
    <n v="961"/>
    <n v="39154"/>
    <n v="154793"/>
    <s v="iPhone 16 Launch"/>
    <n v="0.10596732410380315"/>
  </r>
  <r>
    <s v="A198"/>
    <x v="1"/>
    <d v="2025-09-19T00:00:00"/>
    <x v="2"/>
    <x v="0"/>
    <x v="0"/>
    <n v="14772"/>
    <n v="1030"/>
    <n v="508"/>
    <n v="1876"/>
    <n v="8882"/>
    <n v="155142"/>
    <s v="Apple Event September 2025"/>
    <n v="0.10512949426976577"/>
  </r>
  <r>
    <s v="A296"/>
    <x v="1"/>
    <s v="2025-02-11"/>
    <x v="2"/>
    <x v="10"/>
    <x v="10"/>
    <n v="3619"/>
    <n v="1376"/>
    <n v="410"/>
    <n v="2499"/>
    <n v="58146"/>
    <n v="52149"/>
    <s v="Apple Watch Ultra 2 Launch"/>
    <n v="0.10364532397553165"/>
  </r>
  <r>
    <s v="A240"/>
    <x v="1"/>
    <d v="2025-09-11T00:00:00"/>
    <x v="0"/>
    <x v="2"/>
    <x v="3"/>
    <n v="21901"/>
    <n v="1308"/>
    <n v="724"/>
    <n v="2183"/>
    <n v="15996"/>
    <n v="230961"/>
    <s v="Apple Event September 2025"/>
    <n v="0.10362355549205277"/>
  </r>
  <r>
    <s v="A243"/>
    <x v="1"/>
    <s v="2025-03-06"/>
    <x v="3"/>
    <x v="9"/>
    <x v="9"/>
    <n v="22119"/>
    <n v="899"/>
    <n v="642"/>
    <n v="410"/>
    <n v="49490"/>
    <n v="229420"/>
    <s v="iPhone 16 Launch"/>
    <n v="0.10312963124400662"/>
  </r>
  <r>
    <s v="A290"/>
    <x v="1"/>
    <d v="2025-09-20T00:00:00"/>
    <x v="1"/>
    <x v="3"/>
    <x v="4"/>
    <n v="24422"/>
    <n v="327"/>
    <n v="481"/>
    <n v="2371"/>
    <n v="35340"/>
    <n v="245244"/>
    <s v="Apple Event September 2025"/>
    <n v="0.10287713460879777"/>
  </r>
  <r>
    <s v="A253"/>
    <x v="1"/>
    <d v="2025-09-16T00:00:00"/>
    <x v="1"/>
    <x v="8"/>
    <x v="4"/>
    <n v="16043"/>
    <n v="595"/>
    <n v="923"/>
    <n v="1194"/>
    <n v="52613"/>
    <n v="179978"/>
    <s v="Apple Event September 2025"/>
    <n v="9.757303670448611E-2"/>
  </r>
  <r>
    <s v="A208"/>
    <x v="1"/>
    <s v="2024-06-24"/>
    <x v="3"/>
    <x v="1"/>
    <x v="1"/>
    <n v="5596"/>
    <n v="1231"/>
    <n v="473"/>
    <n v="2251"/>
    <n v="43705"/>
    <n v="75643"/>
    <s v="Apple Watch Ultra 2 Launch"/>
    <n v="9.6505955607260427E-2"/>
  </r>
  <r>
    <s v="A56"/>
    <x v="1"/>
    <s v="2024-12-18"/>
    <x v="3"/>
    <x v="9"/>
    <x v="9"/>
    <n v="14775"/>
    <n v="1220"/>
    <n v="640"/>
    <n v="1547"/>
    <n v="28527"/>
    <n v="183660"/>
    <s v="MacBook Air M3 Campaign"/>
    <n v="9.0574975498203203E-2"/>
  </r>
  <r>
    <s v="A2"/>
    <x v="1"/>
    <d v="2025-09-03T00:00:00"/>
    <x v="1"/>
    <x v="1"/>
    <x v="1"/>
    <n v="4779"/>
    <n v="1110"/>
    <n v="436"/>
    <n v="1574"/>
    <n v="23275"/>
    <n v="71585"/>
    <s v="Apple Event September 2025"/>
    <n v="8.8356499266606131E-2"/>
  </r>
  <r>
    <s v="A57"/>
    <x v="1"/>
    <s v="2024-10-21"/>
    <x v="0"/>
    <x v="0"/>
    <x v="2"/>
    <n v="12015"/>
    <n v="1196"/>
    <n v="998"/>
    <n v="1848"/>
    <n v="44739"/>
    <n v="161750"/>
    <s v="MacBook Air M3 Campaign"/>
    <n v="8.7845440494590421E-2"/>
  </r>
  <r>
    <s v="A29"/>
    <x v="1"/>
    <d v="2025-09-10T00:00:00"/>
    <x v="2"/>
    <x v="8"/>
    <x v="4"/>
    <n v="9266"/>
    <n v="999"/>
    <n v="928"/>
    <n v="2700"/>
    <n v="12264"/>
    <n v="128397"/>
    <s v="Apple Event September 2025"/>
    <n v="8.7174933993784898E-2"/>
  </r>
  <r>
    <s v="A259"/>
    <x v="1"/>
    <s v="2025-02-10"/>
    <x v="2"/>
    <x v="1"/>
    <x v="1"/>
    <n v="16309"/>
    <n v="1449"/>
    <n v="838"/>
    <n v="2434"/>
    <n v="2940"/>
    <n v="217953"/>
    <s v="iPhone 16 Launch"/>
    <n v="8.5321147219813445E-2"/>
  </r>
  <r>
    <s v="A25"/>
    <x v="1"/>
    <d v="2025-09-09T00:00:00"/>
    <x v="0"/>
    <x v="7"/>
    <x v="8"/>
    <n v="15772"/>
    <n v="288"/>
    <n v="520"/>
    <n v="1585"/>
    <n v="59182"/>
    <n v="194351"/>
    <s v="Apple Event September 2025"/>
    <n v="8.5309568769905988E-2"/>
  </r>
  <r>
    <s v="A175"/>
    <x v="1"/>
    <d v="2025-10-08T00:00:00"/>
    <x v="3"/>
    <x v="0"/>
    <x v="2"/>
    <n v="17745"/>
    <n v="414"/>
    <n v="563"/>
    <n v="2733"/>
    <n v="995"/>
    <n v="231648"/>
    <s v="Apple Event September 2025"/>
    <n v="8.0820900676889074E-2"/>
  </r>
  <r>
    <s v="A267"/>
    <x v="1"/>
    <s v="2024-10-04"/>
    <x v="0"/>
    <x v="0"/>
    <x v="2"/>
    <n v="15746"/>
    <n v="258"/>
    <n v="839"/>
    <n v="2656"/>
    <n v="66614"/>
    <n v="213724"/>
    <s v="Sustainability Awareness Drive"/>
    <n v="7.8807246729426739E-2"/>
  </r>
  <r>
    <s v="A116"/>
    <x v="1"/>
    <s v="2025-03-18"/>
    <x v="1"/>
    <x v="7"/>
    <x v="8"/>
    <n v="5818"/>
    <n v="1252"/>
    <n v="687"/>
    <n v="2300"/>
    <n v="25081"/>
    <n v="101212"/>
    <s v="MacBook Air M3 Campaign"/>
    <n v="7.6641109749832043E-2"/>
  </r>
  <r>
    <s v="A233"/>
    <x v="1"/>
    <s v="2025-03-08"/>
    <x v="1"/>
    <x v="6"/>
    <x v="7"/>
    <n v="5812"/>
    <n v="934"/>
    <n v="302"/>
    <n v="2356"/>
    <n v="37437"/>
    <n v="93551"/>
    <s v="Apple Watch Ultra 2 Launch"/>
    <n v="7.5338585370546551E-2"/>
  </r>
  <r>
    <s v="A17"/>
    <x v="1"/>
    <s v="2025-05-05"/>
    <x v="3"/>
    <x v="0"/>
    <x v="2"/>
    <n v="10415"/>
    <n v="1388"/>
    <n v="725"/>
    <n v="2462"/>
    <n v="23275"/>
    <n v="168267"/>
    <s v="MacBook Air M3 Campaign"/>
    <n v="7.4453101321114656E-2"/>
  </r>
  <r>
    <s v="A18"/>
    <x v="1"/>
    <s v="2024-08-19"/>
    <x v="1"/>
    <x v="7"/>
    <x v="8"/>
    <n v="15550"/>
    <n v="204"/>
    <n v="279"/>
    <n v="1646"/>
    <n v="23275"/>
    <n v="219436"/>
    <s v="Apple Watch Ultra 2 Launch"/>
    <n v="7.306458375107093E-2"/>
  </r>
  <r>
    <s v="A89"/>
    <x v="1"/>
    <d v="2025-09-23T00:00:00"/>
    <x v="1"/>
    <x v="10"/>
    <x v="10"/>
    <n v="10017"/>
    <n v="1357"/>
    <n v="966"/>
    <n v="2871"/>
    <n v="14800"/>
    <n v="171691"/>
    <s v="Apple Event September 2025"/>
    <n v="7.1873307278774071E-2"/>
  </r>
  <r>
    <s v="A45"/>
    <x v="1"/>
    <d v="2025-09-17T00:00:00"/>
    <x v="3"/>
    <x v="2"/>
    <x v="3"/>
    <n v="15456"/>
    <n v="590"/>
    <n v="555"/>
    <n v="2882"/>
    <n v="49816"/>
    <n v="240422"/>
    <s v="Apple Event September 2025"/>
    <n v="6.9049421433978589E-2"/>
  </r>
  <r>
    <s v="A37"/>
    <x v="1"/>
    <s v="2025-01-06"/>
    <x v="1"/>
    <x v="4"/>
    <x v="5"/>
    <n v="11860"/>
    <n v="1448"/>
    <n v="893"/>
    <n v="490"/>
    <n v="23518"/>
    <n v="206205"/>
    <s v="Apple Watch Ultra 2 Launch"/>
    <n v="6.8868359157149436E-2"/>
  </r>
  <r>
    <s v="A111"/>
    <x v="1"/>
    <s v="2024-11-23"/>
    <x v="3"/>
    <x v="3"/>
    <x v="4"/>
    <n v="9941"/>
    <n v="1329"/>
    <n v="238"/>
    <n v="869"/>
    <n v="40281"/>
    <n v="172311"/>
    <s v="Sustainability Awareness Drive"/>
    <n v="6.6786217943137702E-2"/>
  </r>
  <r>
    <s v="A54"/>
    <x v="1"/>
    <s v="2025-03-13"/>
    <x v="2"/>
    <x v="4"/>
    <x v="5"/>
    <n v="6544"/>
    <n v="749"/>
    <n v="888"/>
    <n v="594"/>
    <n v="18171"/>
    <n v="126475"/>
    <s v="Sustainability Awareness Drive"/>
    <n v="6.4684720300454635E-2"/>
  </r>
  <r>
    <s v="A15"/>
    <x v="1"/>
    <d v="2025-09-07T00:00:00"/>
    <x v="3"/>
    <x v="4"/>
    <x v="5"/>
    <n v="3015"/>
    <n v="997"/>
    <n v="783"/>
    <n v="617"/>
    <n v="23275"/>
    <n v="82229"/>
    <s v="Apple Event September 2025"/>
    <n v="5.8312760704860814E-2"/>
  </r>
  <r>
    <s v="A69"/>
    <x v="1"/>
    <s v="2025-03-08"/>
    <x v="3"/>
    <x v="7"/>
    <x v="8"/>
    <n v="10580"/>
    <n v="427"/>
    <n v="790"/>
    <n v="2814"/>
    <n v="24916"/>
    <n v="213312"/>
    <s v="MacBook Air M3 Campaign"/>
    <n v="5.530396789678968E-2"/>
  </r>
  <r>
    <s v="A113"/>
    <x v="1"/>
    <d v="2025-09-29T00:00:00"/>
    <x v="0"/>
    <x v="5"/>
    <x v="6"/>
    <n v="7569"/>
    <n v="803"/>
    <n v="804"/>
    <n v="1753"/>
    <n v="43582"/>
    <n v="166945"/>
    <s v="Apple Event September 2025"/>
    <n v="5.4964209769684629E-2"/>
  </r>
  <r>
    <s v="A30"/>
    <x v="1"/>
    <s v="2025-02-25"/>
    <x v="2"/>
    <x v="5"/>
    <x v="6"/>
    <n v="10702"/>
    <n v="621"/>
    <n v="445"/>
    <n v="2918"/>
    <n v="54808"/>
    <n v="220225"/>
    <s v="Apple Watch Ultra 2 Launch"/>
    <n v="5.3436258372119426E-2"/>
  </r>
  <r>
    <s v="A219"/>
    <x v="1"/>
    <s v="2025-01-28"/>
    <x v="2"/>
    <x v="2"/>
    <x v="3"/>
    <n v="9943"/>
    <n v="1274"/>
    <n v="336"/>
    <n v="389"/>
    <n v="6145"/>
    <n v="231305"/>
    <s v="Apple Watch Ultra 2 Launch"/>
    <n v="4.9947039623008581E-2"/>
  </r>
  <r>
    <s v="A171"/>
    <x v="1"/>
    <s v="2024-12-31"/>
    <x v="1"/>
    <x v="6"/>
    <x v="7"/>
    <n v="10717"/>
    <n v="760"/>
    <n v="460"/>
    <n v="1316"/>
    <n v="18164"/>
    <n v="240641"/>
    <s v="MacBook Air M3 Campaign"/>
    <n v="4.9605013277039242E-2"/>
  </r>
  <r>
    <s v="A130"/>
    <x v="1"/>
    <s v="2024-09-29"/>
    <x v="2"/>
    <x v="1"/>
    <x v="1"/>
    <n v="10472"/>
    <n v="401"/>
    <n v="668"/>
    <n v="383"/>
    <n v="37571"/>
    <n v="249203"/>
    <s v="Sustainability Awareness Drive"/>
    <n v="4.6311641513143903E-2"/>
  </r>
  <r>
    <s v="A145"/>
    <x v="1"/>
    <s v="2024-08-12"/>
    <x v="2"/>
    <x v="1"/>
    <x v="1"/>
    <n v="8376"/>
    <n v="1154"/>
    <n v="422"/>
    <n v="1907"/>
    <n v="36874"/>
    <n v="218486"/>
    <s v="Sustainability Awareness Drive"/>
    <n v="4.5549829279679245E-2"/>
  </r>
  <r>
    <s v="A207"/>
    <x v="1"/>
    <s v="2024-12-29"/>
    <x v="2"/>
    <x v="8"/>
    <x v="4"/>
    <n v="8288"/>
    <n v="1401"/>
    <n v="819"/>
    <n v="1235"/>
    <n v="33446"/>
    <n v="248786"/>
    <s v="Apple Watch Ultra 2 Launch"/>
    <n v="4.2237103373984064E-2"/>
  </r>
  <r>
    <s v="A274"/>
    <x v="1"/>
    <s v="2025-01-01"/>
    <x v="0"/>
    <x v="2"/>
    <x v="3"/>
    <n v="8283"/>
    <n v="720"/>
    <n v="888"/>
    <n v="611"/>
    <n v="52791"/>
    <n v="235229"/>
    <s v="Apple Watch Ultra 2 Launch"/>
    <n v="4.2048386891072105E-2"/>
  </r>
  <r>
    <s v="A141"/>
    <x v="1"/>
    <d v="2025-10-03T00:00:00"/>
    <x v="1"/>
    <x v="9"/>
    <x v="9"/>
    <n v="6777"/>
    <n v="617"/>
    <n v="551"/>
    <n v="2109"/>
    <n v="18559"/>
    <n v="208452"/>
    <s v="Apple Event September 2025"/>
    <n v="3.8114290100358834E-2"/>
  </r>
  <r>
    <s v="A281"/>
    <x v="1"/>
    <s v="2025-03-22"/>
    <x v="0"/>
    <x v="0"/>
    <x v="2"/>
    <n v="3917"/>
    <n v="865"/>
    <n v="759"/>
    <n v="2282"/>
    <n v="56125"/>
    <n v="154014"/>
    <s v="Apple Watch Ultra 2 Launch"/>
    <n v="3.5977248821535704E-2"/>
  </r>
  <r>
    <s v="A273"/>
    <x v="1"/>
    <s v="2024-10-12"/>
    <x v="1"/>
    <x v="10"/>
    <x v="10"/>
    <n v="6208"/>
    <n v="725"/>
    <n v="309"/>
    <n v="848"/>
    <n v="39319"/>
    <n v="225763"/>
    <s v="Apple Watch Ultra 2 Launch"/>
    <n v="3.207788698768177E-2"/>
  </r>
  <r>
    <s v="A236"/>
    <x v="1"/>
    <s v="2024-08-19"/>
    <x v="0"/>
    <x v="5"/>
    <x v="6"/>
    <n v="3605"/>
    <n v="206"/>
    <n v="921"/>
    <n v="852"/>
    <n v="11660"/>
    <n v="182635"/>
    <s v="iPhone 16 Launch"/>
    <n v="2.590960111698196E-2"/>
  </r>
  <r>
    <s v="A78"/>
    <x v="1"/>
    <s v="2024-06-17"/>
    <x v="1"/>
    <x v="2"/>
    <x v="3"/>
    <n v="3252"/>
    <n v="1043"/>
    <n v="647"/>
    <n v="1545"/>
    <n v="18859"/>
    <n v="222958"/>
    <s v="Apple Watch Ultra 2 Launch"/>
    <n v="2.2165609666394567E-2"/>
  </r>
  <r>
    <s v="A167"/>
    <x v="1"/>
    <s v="2024-11-28"/>
    <x v="2"/>
    <x v="0"/>
    <x v="2"/>
    <n v="2302"/>
    <n v="347"/>
    <n v="642"/>
    <n v="2175"/>
    <n v="56378"/>
    <n v="198056"/>
    <s v="MacBook Air M3 Campaign"/>
    <n v="1.6616512501514722E-2"/>
  </r>
  <r>
    <s v="A127"/>
    <x v="2"/>
    <s v="2025-01-27"/>
    <x v="1"/>
    <x v="0"/>
    <x v="2"/>
    <n v="24415"/>
    <n v="860"/>
    <n v="931"/>
    <n v="320"/>
    <n v="65049"/>
    <n v="62911"/>
    <s v="Apple Watch Ultra 2 Launch"/>
    <n v="0.41655672298962027"/>
  </r>
  <r>
    <s v="A123"/>
    <x v="2"/>
    <s v="2024-06-14"/>
    <x v="0"/>
    <x v="0"/>
    <x v="2"/>
    <n v="17183"/>
    <n v="1224"/>
    <n v="943"/>
    <n v="2010"/>
    <n v="21481"/>
    <n v="49110"/>
    <s v="Sustainability Awareness Drive"/>
    <n v="0.39401343921808185"/>
  </r>
  <r>
    <s v="A226"/>
    <x v="2"/>
    <d v="2025-09-08T00:00:00"/>
    <x v="3"/>
    <x v="7"/>
    <x v="8"/>
    <n v="23785"/>
    <n v="1013"/>
    <n v="468"/>
    <n v="1628"/>
    <n v="8272"/>
    <n v="71348"/>
    <s v="Apple Event September 2025"/>
    <n v="0.35412345125301342"/>
  </r>
  <r>
    <s v="A231"/>
    <x v="2"/>
    <d v="2025-09-09T00:00:00"/>
    <x v="1"/>
    <x v="2"/>
    <x v="3"/>
    <n v="19260"/>
    <n v="668"/>
    <n v="994"/>
    <n v="934"/>
    <n v="20509"/>
    <n v="61636"/>
    <s v="Apple Event September 2025"/>
    <n v="0.33944448049841003"/>
  </r>
  <r>
    <s v="A106"/>
    <x v="2"/>
    <s v="2025-02-04"/>
    <x v="2"/>
    <x v="7"/>
    <x v="8"/>
    <n v="23833"/>
    <n v="555"/>
    <n v="523"/>
    <n v="1330"/>
    <n v="69141"/>
    <n v="73997"/>
    <s v="iPhone 16 Launch"/>
    <n v="0.33664878305877266"/>
  </r>
  <r>
    <s v="A223"/>
    <x v="2"/>
    <s v="2024-11-12"/>
    <x v="0"/>
    <x v="4"/>
    <x v="5"/>
    <n v="17913"/>
    <n v="1311"/>
    <n v="859"/>
    <n v="405"/>
    <n v="59842"/>
    <n v="62612"/>
    <s v="Sustainability Awareness Drive"/>
    <n v="0.32075321024723696"/>
  </r>
  <r>
    <s v="A196"/>
    <x v="2"/>
    <d v="2025-09-18T00:00:00"/>
    <x v="3"/>
    <x v="8"/>
    <x v="4"/>
    <n v="10152"/>
    <n v="1445"/>
    <n v="526"/>
    <n v="513"/>
    <n v="18959"/>
    <n v="43712"/>
    <s v="Apple Event September 2025"/>
    <n v="0.27733803074670571"/>
  </r>
  <r>
    <s v="A21"/>
    <x v="2"/>
    <d v="2025-09-08T00:00:00"/>
    <x v="2"/>
    <x v="5"/>
    <x v="6"/>
    <n v="22309"/>
    <n v="773"/>
    <n v="854"/>
    <n v="2387"/>
    <n v="72396"/>
    <n v="97056"/>
    <s v="Apple Event September 2025"/>
    <n v="0.24662050774810418"/>
  </r>
  <r>
    <s v="A76"/>
    <x v="2"/>
    <s v="2024-11-07"/>
    <x v="2"/>
    <x v="3"/>
    <x v="4"/>
    <n v="17254"/>
    <n v="246"/>
    <n v="952"/>
    <n v="871"/>
    <n v="14957"/>
    <n v="75946"/>
    <s v="MacBook Air M3 Campaign"/>
    <n v="0.24296210465330631"/>
  </r>
  <r>
    <s v="A105"/>
    <x v="2"/>
    <s v="2024-06-14"/>
    <x v="2"/>
    <x v="9"/>
    <x v="9"/>
    <n v="21856"/>
    <n v="1203"/>
    <n v="634"/>
    <n v="2807"/>
    <n v="3647"/>
    <n v="104178"/>
    <s v="iPhone 16 Launch"/>
    <n v="0.22742805582752595"/>
  </r>
  <r>
    <s v="A170"/>
    <x v="2"/>
    <s v="2025-04-28"/>
    <x v="2"/>
    <x v="5"/>
    <x v="6"/>
    <n v="15013"/>
    <n v="1286"/>
    <n v="599"/>
    <n v="2001"/>
    <n v="67839"/>
    <n v="76059"/>
    <s v="Apple Watch Ultra 2 Launch"/>
    <n v="0.22216963147030594"/>
  </r>
  <r>
    <s v="A187"/>
    <x v="2"/>
    <s v="2024-12-22"/>
    <x v="3"/>
    <x v="10"/>
    <x v="10"/>
    <n v="7870"/>
    <n v="968"/>
    <n v="626"/>
    <n v="465"/>
    <n v="27184"/>
    <n v="44114"/>
    <s v="MacBook Air M3 Campaign"/>
    <n v="0.2145350682323072"/>
  </r>
  <r>
    <s v="A190"/>
    <x v="2"/>
    <s v="2024-10-04"/>
    <x v="1"/>
    <x v="2"/>
    <x v="3"/>
    <n v="21729"/>
    <n v="1209"/>
    <n v="897"/>
    <n v="1624"/>
    <n v="38771"/>
    <n v="113297"/>
    <s v="iPhone 16 Launch"/>
    <n v="0.21037626768581694"/>
  </r>
  <r>
    <s v="A251"/>
    <x v="2"/>
    <d v="2025-09-15T00:00:00"/>
    <x v="1"/>
    <x v="2"/>
    <x v="3"/>
    <n v="18389"/>
    <n v="670"/>
    <n v="655"/>
    <n v="321"/>
    <n v="21869"/>
    <n v="96088"/>
    <s v="Apple Event September 2025"/>
    <n v="0.2051660977437349"/>
  </r>
  <r>
    <s v="A74"/>
    <x v="2"/>
    <s v="2024-10-28"/>
    <x v="2"/>
    <x v="0"/>
    <x v="0"/>
    <n v="21198"/>
    <n v="1484"/>
    <n v="174"/>
    <n v="1293"/>
    <n v="16330"/>
    <n v="111635"/>
    <s v="iPhone 16 Launch"/>
    <n v="0.20473865723115511"/>
  </r>
  <r>
    <s v="A246"/>
    <x v="2"/>
    <s v="2024-10-11"/>
    <x v="2"/>
    <x v="9"/>
    <x v="9"/>
    <n v="19447"/>
    <n v="1014"/>
    <n v="256"/>
    <n v="2354"/>
    <n v="5472"/>
    <n v="104106"/>
    <s v="Apple Watch Ultra 2 Launch"/>
    <n v="0.19899909707413599"/>
  </r>
  <r>
    <s v="A93"/>
    <x v="2"/>
    <s v="2024-12-11"/>
    <x v="2"/>
    <x v="9"/>
    <x v="9"/>
    <n v="22645"/>
    <n v="545"/>
    <n v="972"/>
    <n v="321"/>
    <n v="8396"/>
    <n v="121537"/>
    <s v="MacBook Air M3 Campaign"/>
    <n v="0.19880365649966678"/>
  </r>
  <r>
    <s v="A97"/>
    <x v="2"/>
    <s v="2024-08-13"/>
    <x v="2"/>
    <x v="10"/>
    <x v="10"/>
    <n v="6854"/>
    <n v="417"/>
    <n v="467"/>
    <n v="1003"/>
    <n v="61333"/>
    <n v="40281"/>
    <s v="Apple Watch Ultra 2 Launch"/>
    <n v="0.19210049402944315"/>
  </r>
  <r>
    <s v="A23"/>
    <x v="2"/>
    <s v="2024-11-06"/>
    <x v="2"/>
    <x v="0"/>
    <x v="2"/>
    <n v="8938"/>
    <n v="800"/>
    <n v="842"/>
    <n v="2072"/>
    <n v="31736"/>
    <n v="59975"/>
    <s v="iPhone 16 Launch"/>
    <n v="0.17640683618174238"/>
  </r>
  <r>
    <s v="A158"/>
    <x v="2"/>
    <s v="2024-08-11"/>
    <x v="2"/>
    <x v="1"/>
    <x v="1"/>
    <n v="14394"/>
    <n v="1202"/>
    <n v="188"/>
    <n v="1259"/>
    <n v="21925"/>
    <n v="94061"/>
    <s v="iPhone 16 Launch"/>
    <n v="0.1678059982351878"/>
  </r>
  <r>
    <s v="A285"/>
    <x v="2"/>
    <s v="2024-07-18"/>
    <x v="0"/>
    <x v="6"/>
    <x v="7"/>
    <n v="16594"/>
    <n v="809"/>
    <n v="784"/>
    <n v="1655"/>
    <n v="35505"/>
    <n v="112588"/>
    <s v="Sustainability Awareness Drive"/>
    <n v="0.16153586527871533"/>
  </r>
  <r>
    <s v="A50"/>
    <x v="2"/>
    <s v="2024-07-03"/>
    <x v="3"/>
    <x v="2"/>
    <x v="3"/>
    <n v="14338"/>
    <n v="1454"/>
    <n v="697"/>
    <n v="2703"/>
    <n v="21288"/>
    <n v="107649"/>
    <s v="iPhone 16 Launch"/>
    <n v="0.1531737405828201"/>
  </r>
  <r>
    <s v="A72"/>
    <x v="2"/>
    <s v="2025-03-03"/>
    <x v="2"/>
    <x v="0"/>
    <x v="2"/>
    <n v="24928"/>
    <n v="214"/>
    <n v="765"/>
    <n v="1556"/>
    <n v="5239"/>
    <n v="194571"/>
    <s v="MacBook Air M3 Campaign"/>
    <n v="0.13314933880177415"/>
  </r>
  <r>
    <s v="A294"/>
    <x v="2"/>
    <s v="2024-06-19"/>
    <x v="2"/>
    <x v="5"/>
    <x v="6"/>
    <n v="20444"/>
    <n v="233"/>
    <n v="189"/>
    <n v="2879"/>
    <n v="28185"/>
    <n v="159891"/>
    <s v="iPhone 16 Launch"/>
    <n v="0.13050140408153055"/>
  </r>
  <r>
    <s v="A271"/>
    <x v="2"/>
    <s v="2024-10-17"/>
    <x v="0"/>
    <x v="4"/>
    <x v="5"/>
    <n v="18608"/>
    <n v="1338"/>
    <n v="365"/>
    <n v="2289"/>
    <n v="20785"/>
    <n v="161999"/>
    <s v="Apple Watch Ultra 2 Launch"/>
    <n v="0.12537731714393299"/>
  </r>
  <r>
    <s v="A109"/>
    <x v="2"/>
    <s v="2024-08-08"/>
    <x v="2"/>
    <x v="7"/>
    <x v="8"/>
    <n v="24355"/>
    <n v="1087"/>
    <n v="686"/>
    <n v="2426"/>
    <n v="24963"/>
    <n v="212307"/>
    <s v="Apple Watch Ultra 2 Launch"/>
    <n v="0.1230670679723231"/>
  </r>
  <r>
    <s v="A66"/>
    <x v="2"/>
    <s v="2024-07-26"/>
    <x v="3"/>
    <x v="7"/>
    <x v="8"/>
    <n v="12176"/>
    <n v="1005"/>
    <n v="862"/>
    <n v="974"/>
    <n v="2285"/>
    <n v="116619"/>
    <s v="iPhone 16 Launch"/>
    <n v="0.12041777068916729"/>
  </r>
  <r>
    <s v="A228"/>
    <x v="2"/>
    <s v="2024-07-01"/>
    <x v="0"/>
    <x v="4"/>
    <x v="5"/>
    <n v="3761"/>
    <n v="651"/>
    <n v="493"/>
    <n v="2294"/>
    <n v="71696"/>
    <n v="41177"/>
    <s v="Apple Watch Ultra 2 Launch"/>
    <n v="0.11911989702989532"/>
  </r>
  <r>
    <s v="A107"/>
    <x v="2"/>
    <s v="2024-06-21"/>
    <x v="0"/>
    <x v="0"/>
    <x v="0"/>
    <n v="21216"/>
    <n v="1207"/>
    <n v="859"/>
    <n v="328"/>
    <n v="91296"/>
    <n v="196683"/>
    <s v="Sustainability Awareness Drive"/>
    <n v="0.1183732198512327"/>
  </r>
  <r>
    <s v="A95"/>
    <x v="2"/>
    <s v="2024-11-08"/>
    <x v="3"/>
    <x v="0"/>
    <x v="0"/>
    <n v="23499"/>
    <n v="562"/>
    <n v="964"/>
    <n v="2557"/>
    <n v="56890"/>
    <n v="218686"/>
    <s v="iPhone 16 Launch"/>
    <n v="0.11443347996671026"/>
  </r>
  <r>
    <s v="A27"/>
    <x v="2"/>
    <s v="2024-09-17"/>
    <x v="3"/>
    <x v="9"/>
    <x v="9"/>
    <n v="20017"/>
    <n v="495"/>
    <n v="178"/>
    <n v="2683"/>
    <n v="32244"/>
    <n v="182633"/>
    <s v="Apple Watch Ultra 2 Launch"/>
    <n v="0.11328730295182141"/>
  </r>
  <r>
    <s v="A71"/>
    <x v="2"/>
    <s v="2024-09-02"/>
    <x v="2"/>
    <x v="0"/>
    <x v="0"/>
    <n v="12040"/>
    <n v="1147"/>
    <n v="210"/>
    <n v="885"/>
    <n v="30360"/>
    <n v="119530"/>
    <s v="iPhone 16 Launch"/>
    <n v="0.1120806492094035"/>
  </r>
  <r>
    <s v="A225"/>
    <x v="2"/>
    <s v="2024-06-20"/>
    <x v="0"/>
    <x v="7"/>
    <x v="8"/>
    <n v="21123"/>
    <n v="1343"/>
    <n v="589"/>
    <n v="727"/>
    <n v="87833"/>
    <n v="206703"/>
    <s v="Apple Watch Ultra 2 Launch"/>
    <n v="0.11153684271636116"/>
  </r>
  <r>
    <s v="A258"/>
    <x v="2"/>
    <s v="2024-08-05"/>
    <x v="0"/>
    <x v="6"/>
    <x v="7"/>
    <n v="20935"/>
    <n v="1104"/>
    <n v="876"/>
    <n v="1270"/>
    <n v="21454"/>
    <n v="208722"/>
    <s v="Sustainability Awareness Drive"/>
    <n v="0.10978718103506099"/>
  </r>
  <r>
    <s v="A183"/>
    <x v="2"/>
    <s v="2024-12-17"/>
    <x v="1"/>
    <x v="7"/>
    <x v="8"/>
    <n v="20030"/>
    <n v="485"/>
    <n v="888"/>
    <n v="1643"/>
    <n v="4322"/>
    <n v="196995"/>
    <s v="Sustainability Awareness Drive"/>
    <n v="0.10864742759968526"/>
  </r>
  <r>
    <s v="A52"/>
    <x v="2"/>
    <d v="2025-09-19T00:00:00"/>
    <x v="1"/>
    <x v="7"/>
    <x v="8"/>
    <n v="19100"/>
    <n v="619"/>
    <n v="297"/>
    <n v="2312"/>
    <n v="9730"/>
    <n v="184832"/>
    <s v="Apple Event September 2025"/>
    <n v="0.10829293628808864"/>
  </r>
  <r>
    <s v="A262"/>
    <x v="2"/>
    <s v="2025-01-18"/>
    <x v="3"/>
    <x v="5"/>
    <x v="6"/>
    <n v="22673"/>
    <n v="1053"/>
    <n v="169"/>
    <n v="1566"/>
    <n v="9417"/>
    <n v="221187"/>
    <s v="iPhone 16 Launch"/>
    <n v="0.10803076130152314"/>
  </r>
  <r>
    <s v="A237"/>
    <x v="2"/>
    <s v="2024-10-22"/>
    <x v="2"/>
    <x v="4"/>
    <x v="5"/>
    <n v="7622"/>
    <n v="529"/>
    <n v="720"/>
    <n v="1015"/>
    <n v="71322"/>
    <n v="86819"/>
    <s v="MacBook Air M3 Campaign"/>
    <n v="0.10217809465669957"/>
  </r>
  <r>
    <s v="A165"/>
    <x v="2"/>
    <d v="2025-10-07T00:00:00"/>
    <x v="2"/>
    <x v="7"/>
    <x v="8"/>
    <n v="19660"/>
    <n v="1307"/>
    <n v="310"/>
    <n v="2802"/>
    <n v="22171"/>
    <n v="213359"/>
    <s v="Apple Event September 2025"/>
    <n v="9.9723939463533293E-2"/>
  </r>
  <r>
    <s v="A10"/>
    <x v="2"/>
    <s v="2025-03-11"/>
    <x v="0"/>
    <x v="9"/>
    <x v="9"/>
    <n v="20222"/>
    <n v="712"/>
    <n v="604"/>
    <n v="1272"/>
    <n v="23275"/>
    <n v="216422"/>
    <s v="Sustainability Awareness Drive"/>
    <n v="9.9518533235992648E-2"/>
  </r>
  <r>
    <s v="A103"/>
    <x v="2"/>
    <d v="2025-09-27T00:00:00"/>
    <x v="3"/>
    <x v="1"/>
    <x v="1"/>
    <n v="18521"/>
    <n v="1027"/>
    <n v="230"/>
    <n v="1247"/>
    <n v="39588"/>
    <n v="200928"/>
    <s v="Apple Event September 2025"/>
    <n v="9.8433269628921807E-2"/>
  </r>
  <r>
    <s v="A118"/>
    <x v="2"/>
    <s v="2024-11-04"/>
    <x v="0"/>
    <x v="3"/>
    <x v="4"/>
    <n v="14234"/>
    <n v="1013"/>
    <n v="437"/>
    <n v="338"/>
    <n v="67754"/>
    <n v="160030"/>
    <s v="Sustainability Awareness Drive"/>
    <n v="9.8006623758045364E-2"/>
  </r>
  <r>
    <s v="A114"/>
    <x v="2"/>
    <s v="2024-11-14"/>
    <x v="1"/>
    <x v="4"/>
    <x v="5"/>
    <n v="6300"/>
    <n v="1213"/>
    <n v="720"/>
    <n v="1037"/>
    <n v="39569"/>
    <n v="85272"/>
    <s v="iPhone 16 Launch"/>
    <n v="9.6549863964724647E-2"/>
  </r>
  <r>
    <s v="A35"/>
    <x v="2"/>
    <s v="2024-11-30"/>
    <x v="0"/>
    <x v="0"/>
    <x v="2"/>
    <n v="14763"/>
    <n v="864"/>
    <n v="336"/>
    <n v="1493"/>
    <n v="33310"/>
    <n v="165932"/>
    <s v="iPhone 16 Launch"/>
    <n v="9.6202058674637797E-2"/>
  </r>
  <r>
    <s v="A26"/>
    <x v="2"/>
    <s v="2025-04-05"/>
    <x v="0"/>
    <x v="7"/>
    <x v="8"/>
    <n v="22384"/>
    <n v="601"/>
    <n v="943"/>
    <n v="515"/>
    <n v="41309"/>
    <n v="249373"/>
    <s v="Apple Watch Ultra 2 Launch"/>
    <n v="9.5952649244304716E-2"/>
  </r>
  <r>
    <s v="A238"/>
    <x v="2"/>
    <s v="2024-07-16"/>
    <x v="3"/>
    <x v="9"/>
    <x v="9"/>
    <n v="8767"/>
    <n v="974"/>
    <n v="733"/>
    <n v="1587"/>
    <n v="74927"/>
    <n v="113770"/>
    <s v="Apple Watch Ultra 2 Launch"/>
    <n v="9.2062933989628198E-2"/>
  </r>
  <r>
    <s v="A266"/>
    <x v="2"/>
    <s v="2024-11-25"/>
    <x v="0"/>
    <x v="9"/>
    <x v="9"/>
    <n v="17385"/>
    <n v="831"/>
    <n v="568"/>
    <n v="2227"/>
    <n v="49351"/>
    <n v="207450"/>
    <s v="Sustainability Awareness Drive"/>
    <n v="9.0547119787900698E-2"/>
  </r>
  <r>
    <s v="A297"/>
    <x v="2"/>
    <s v="2024-12-24"/>
    <x v="1"/>
    <x v="8"/>
    <x v="4"/>
    <n v="10512"/>
    <n v="1197"/>
    <n v="544"/>
    <n v="2012"/>
    <n v="10245"/>
    <n v="140102"/>
    <s v="Apple Watch Ultra 2 Launch"/>
    <n v="8.745770938316369E-2"/>
  </r>
  <r>
    <s v="A34"/>
    <x v="2"/>
    <d v="2025-09-12T00:00:00"/>
    <x v="3"/>
    <x v="4"/>
    <x v="5"/>
    <n v="17158"/>
    <n v="1192"/>
    <n v="262"/>
    <n v="2016"/>
    <n v="28771"/>
    <n v="216037"/>
    <s v="Apple Event September 2025"/>
    <n v="8.6151909163708074E-2"/>
  </r>
  <r>
    <s v="A176"/>
    <x v="2"/>
    <d v="2025-10-09T00:00:00"/>
    <x v="2"/>
    <x v="4"/>
    <x v="5"/>
    <n v="18748"/>
    <n v="634"/>
    <n v="400"/>
    <n v="1667"/>
    <n v="75813"/>
    <n v="244456"/>
    <s v="Apple Event September 2025"/>
    <n v="8.0922538207284747E-2"/>
  </r>
  <r>
    <s v="A278"/>
    <x v="2"/>
    <s v="2024-11-26"/>
    <x v="0"/>
    <x v="2"/>
    <x v="3"/>
    <n v="14607"/>
    <n v="1458"/>
    <n v="478"/>
    <n v="334"/>
    <n v="49257"/>
    <n v="214668"/>
    <s v="iPhone 16 Launch"/>
    <n v="7.7063185942944451E-2"/>
  </r>
  <r>
    <s v="A209"/>
    <x v="2"/>
    <s v="2025-03-19"/>
    <x v="2"/>
    <x v="0"/>
    <x v="0"/>
    <n v="13475"/>
    <n v="1032"/>
    <n v="295"/>
    <n v="541"/>
    <n v="43666"/>
    <n v="202396"/>
    <s v="MacBook Air M3 Campaign"/>
    <n v="7.3133856400324118E-2"/>
  </r>
  <r>
    <s v="A241"/>
    <x v="2"/>
    <s v="2025-01-18"/>
    <x v="3"/>
    <x v="5"/>
    <x v="6"/>
    <n v="12589"/>
    <n v="346"/>
    <n v="459"/>
    <n v="1407"/>
    <n v="29254"/>
    <n v="198059"/>
    <s v="Sustainability Awareness Drive"/>
    <n v="6.7626313371268162E-2"/>
  </r>
  <r>
    <s v="A99"/>
    <x v="2"/>
    <s v="2024-07-02"/>
    <x v="2"/>
    <x v="2"/>
    <x v="3"/>
    <n v="12320"/>
    <n v="1157"/>
    <n v="365"/>
    <n v="584"/>
    <n v="66634"/>
    <n v="210102"/>
    <s v="iPhone 16 Launch"/>
    <n v="6.5882285746922925E-2"/>
  </r>
  <r>
    <s v="A295"/>
    <x v="2"/>
    <s v="2025-05-06"/>
    <x v="2"/>
    <x v="6"/>
    <x v="7"/>
    <n v="7287"/>
    <n v="1240"/>
    <n v="686"/>
    <n v="1255"/>
    <n v="15403"/>
    <n v="147971"/>
    <s v="Apple Watch Ultra 2 Launch"/>
    <n v="6.2262200025680704E-2"/>
  </r>
  <r>
    <s v="A156"/>
    <x v="2"/>
    <s v="2024-10-22"/>
    <x v="3"/>
    <x v="2"/>
    <x v="3"/>
    <n v="12478"/>
    <n v="484"/>
    <n v="332"/>
    <n v="2734"/>
    <n v="43338"/>
    <n v="213895"/>
    <s v="iPhone 16 Launch"/>
    <n v="6.2151990462610156E-2"/>
  </r>
  <r>
    <s v="A28"/>
    <x v="2"/>
    <s v="2025-03-04"/>
    <x v="3"/>
    <x v="3"/>
    <x v="4"/>
    <n v="12344"/>
    <n v="815"/>
    <n v="298"/>
    <n v="2439"/>
    <n v="6259"/>
    <n v="237133"/>
    <s v="iPhone 16 Launch"/>
    <n v="5.6748744375519224E-2"/>
  </r>
  <r>
    <s v="A96"/>
    <x v="2"/>
    <s v="2024-09-10"/>
    <x v="2"/>
    <x v="7"/>
    <x v="8"/>
    <n v="6637"/>
    <n v="595"/>
    <n v="161"/>
    <n v="2653"/>
    <n v="19334"/>
    <n v="131155"/>
    <s v="Sustainability Awareness Drive"/>
    <n v="5.6368419046166747E-2"/>
  </r>
  <r>
    <s v="A87"/>
    <x v="2"/>
    <s v="2024-06-06"/>
    <x v="3"/>
    <x v="9"/>
    <x v="9"/>
    <n v="11521"/>
    <n v="1071"/>
    <n v="762"/>
    <n v="2539"/>
    <n v="12701"/>
    <n v="238350"/>
    <s v="Sustainability Awareness Drive"/>
    <n v="5.6026851269142017E-2"/>
  </r>
  <r>
    <s v="A49"/>
    <x v="2"/>
    <d v="2025-09-18T00:00:00"/>
    <x v="2"/>
    <x v="0"/>
    <x v="2"/>
    <n v="4048"/>
    <n v="677"/>
    <n v="911"/>
    <n v="2429"/>
    <n v="27361"/>
    <n v="101272"/>
    <s v="Apple Event September 2025"/>
    <n v="5.5652105221581483E-2"/>
  </r>
  <r>
    <s v="A102"/>
    <x v="2"/>
    <d v="2025-09-26T00:00:00"/>
    <x v="2"/>
    <x v="3"/>
    <x v="4"/>
    <n v="9043"/>
    <n v="1192"/>
    <n v="810"/>
    <n v="1550"/>
    <n v="5221"/>
    <n v="199476"/>
    <s v="Apple Event September 2025"/>
    <n v="5.5370069582305642E-2"/>
  </r>
  <r>
    <s v="A197"/>
    <x v="2"/>
    <s v="2024-10-22"/>
    <x v="3"/>
    <x v="4"/>
    <x v="5"/>
    <n v="7750"/>
    <n v="1146"/>
    <n v="415"/>
    <n v="1411"/>
    <n v="85339"/>
    <n v="172439"/>
    <s v="Sustainability Awareness Drive"/>
    <n v="5.3995905798572247E-2"/>
  </r>
  <r>
    <s v="A94"/>
    <x v="2"/>
    <s v="2024-11-07"/>
    <x v="2"/>
    <x v="9"/>
    <x v="9"/>
    <n v="11550"/>
    <n v="501"/>
    <n v="646"/>
    <n v="773"/>
    <n v="17841"/>
    <n v="237576"/>
    <s v="iPhone 16 Launch"/>
    <n v="5.3443950567397383E-2"/>
  </r>
  <r>
    <s v="A283"/>
    <x v="2"/>
    <s v="2025-05-09"/>
    <x v="2"/>
    <x v="7"/>
    <x v="8"/>
    <n v="8988"/>
    <n v="228"/>
    <n v="766"/>
    <n v="652"/>
    <n v="63789"/>
    <n v="219785"/>
    <s v="Sustainability Awareness Drive"/>
    <n v="4.541711217781013E-2"/>
  </r>
  <r>
    <s v="A90"/>
    <x v="2"/>
    <s v="2024-06-03"/>
    <x v="1"/>
    <x v="0"/>
    <x v="2"/>
    <n v="8941"/>
    <n v="911"/>
    <n v="166"/>
    <n v="1217"/>
    <n v="68817"/>
    <n v="221180"/>
    <s v="MacBook Air M3 Campaign"/>
    <n v="4.5293426168731353E-2"/>
  </r>
  <r>
    <s v="A70"/>
    <x v="2"/>
    <s v="2025-04-02"/>
    <x v="3"/>
    <x v="9"/>
    <x v="9"/>
    <n v="6858"/>
    <n v="415"/>
    <n v="366"/>
    <n v="2761"/>
    <n v="2988"/>
    <n v="177348"/>
    <s v="Apple Watch Ultra 2 Launch"/>
    <n v="4.3073505198818141E-2"/>
  </r>
  <r>
    <s v="A43"/>
    <x v="2"/>
    <d v="2025-09-16T00:00:00"/>
    <x v="3"/>
    <x v="8"/>
    <x v="4"/>
    <n v="6809"/>
    <n v="397"/>
    <n v="813"/>
    <n v="1125"/>
    <n v="12206"/>
    <n v="218136"/>
    <s v="Apple Event September 2025"/>
    <n v="3.6761469908680823E-2"/>
  </r>
  <r>
    <s v="A280"/>
    <x v="2"/>
    <d v="2025-09-18T00:00:00"/>
    <x v="0"/>
    <x v="2"/>
    <x v="3"/>
    <n v="3828"/>
    <n v="203"/>
    <n v="506"/>
    <n v="2440"/>
    <n v="63650"/>
    <n v="126365"/>
    <s v="Apple Event September 2025"/>
    <n v="3.5903929094290347E-2"/>
  </r>
  <r>
    <s v="A201"/>
    <x v="3"/>
    <s v="2025-01-15"/>
    <x v="3"/>
    <x v="3"/>
    <x v="4"/>
    <n v="20360"/>
    <n v="254"/>
    <n v="726"/>
    <n v="1995"/>
    <n v="14280"/>
    <n v="43726"/>
    <s v="iPhone 16 Launch"/>
    <n v="0.48803915290673738"/>
  </r>
  <r>
    <s v="A13"/>
    <x v="3"/>
    <s v="2024-11-18"/>
    <x v="2"/>
    <x v="2"/>
    <x v="3"/>
    <n v="21255"/>
    <n v="1452"/>
    <n v="625"/>
    <n v="1624"/>
    <n v="23275"/>
    <n v="57778"/>
    <s v="MacBook Air M3 Campaign"/>
    <n v="0.40382152376337016"/>
  </r>
  <r>
    <s v="A151"/>
    <x v="3"/>
    <s v="2024-07-26"/>
    <x v="0"/>
    <x v="8"/>
    <x v="4"/>
    <n v="18282"/>
    <n v="224"/>
    <n v="962"/>
    <n v="890"/>
    <n v="35105"/>
    <n v="64089"/>
    <s v="iPhone 16 Launch"/>
    <n v="0.30376507669022768"/>
  </r>
  <r>
    <s v="A5"/>
    <x v="3"/>
    <d v="2025-09-04T00:00:00"/>
    <x v="0"/>
    <x v="6"/>
    <x v="7"/>
    <n v="21708"/>
    <n v="435"/>
    <n v="317"/>
    <n v="1213"/>
    <n v="23275"/>
    <n v="83585"/>
    <s v="Apple Event September 2025"/>
    <n v="0.26870850032900639"/>
  </r>
  <r>
    <s v="A220"/>
    <x v="3"/>
    <s v="2024-06-02"/>
    <x v="0"/>
    <x v="1"/>
    <x v="1"/>
    <n v="14199"/>
    <n v="1206"/>
    <n v="954"/>
    <n v="2009"/>
    <n v="8"/>
    <n v="65537"/>
    <s v="Sustainability Awareness Drive"/>
    <n v="0.24961472145505592"/>
  </r>
  <r>
    <s v="A51"/>
    <x v="3"/>
    <s v="2024-06-13"/>
    <x v="2"/>
    <x v="7"/>
    <x v="8"/>
    <n v="23164"/>
    <n v="1122"/>
    <n v="900"/>
    <n v="888"/>
    <n v="36938"/>
    <n v="104674"/>
    <s v="Apple Watch Ultra 2 Launch"/>
    <n v="0.24061371496264594"/>
  </r>
  <r>
    <s v="A61"/>
    <x v="3"/>
    <s v="2024-09-05"/>
    <x v="2"/>
    <x v="8"/>
    <x v="4"/>
    <n v="16489"/>
    <n v="395"/>
    <n v="350"/>
    <n v="2364"/>
    <n v="43239"/>
    <n v="73397"/>
    <s v="MacBook Air M3 Campaign"/>
    <n v="0.23480523727127811"/>
  </r>
  <r>
    <s v="A286"/>
    <x v="3"/>
    <d v="2025-09-19T00:00:00"/>
    <x v="3"/>
    <x v="7"/>
    <x v="8"/>
    <n v="22128"/>
    <n v="1004"/>
    <n v="690"/>
    <n v="2048"/>
    <n v="19443"/>
    <n v="103646"/>
    <s v="Apple Event September 2025"/>
    <n v="0.22984003241803833"/>
  </r>
  <r>
    <s v="A42"/>
    <x v="3"/>
    <s v="2025-03-05"/>
    <x v="2"/>
    <x v="0"/>
    <x v="2"/>
    <n v="12916"/>
    <n v="1262"/>
    <n v="772"/>
    <n v="856"/>
    <n v="11496"/>
    <n v="75046"/>
    <s v="Sustainability Awareness Drive"/>
    <n v="0.19921115049436347"/>
  </r>
  <r>
    <s v="A260"/>
    <x v="3"/>
    <s v="2025-02-12"/>
    <x v="0"/>
    <x v="1"/>
    <x v="1"/>
    <n v="15234"/>
    <n v="1276"/>
    <n v="670"/>
    <n v="1860"/>
    <n v="60397"/>
    <n v="86413"/>
    <s v="MacBook Air M3 Campaign"/>
    <n v="0.19881267864788862"/>
  </r>
  <r>
    <s v="A152"/>
    <x v="3"/>
    <d v="2025-10-04T00:00:00"/>
    <x v="0"/>
    <x v="10"/>
    <x v="10"/>
    <n v="12488"/>
    <n v="1403"/>
    <n v="247"/>
    <n v="1350"/>
    <n v="28370"/>
    <n v="76487"/>
    <s v="Apple Event September 2025"/>
    <n v="0.18484186855282597"/>
  </r>
  <r>
    <s v="A148"/>
    <x v="3"/>
    <s v="2025-04-15"/>
    <x v="0"/>
    <x v="9"/>
    <x v="9"/>
    <n v="20977"/>
    <n v="1402"/>
    <n v="301"/>
    <n v="1284"/>
    <n v="24620"/>
    <n v="128009"/>
    <s v="Apple Watch Ultra 2 Launch"/>
    <n v="0.17717504237983267"/>
  </r>
  <r>
    <s v="A139"/>
    <x v="3"/>
    <s v="2024-10-29"/>
    <x v="3"/>
    <x v="0"/>
    <x v="2"/>
    <n v="23969"/>
    <n v="1433"/>
    <n v="372"/>
    <n v="1092"/>
    <n v="32147"/>
    <n v="145823"/>
    <s v="Sustainability Awareness Drive"/>
    <n v="0.17674852389540743"/>
  </r>
  <r>
    <s v="A221"/>
    <x v="3"/>
    <s v="2025-03-23"/>
    <x v="2"/>
    <x v="2"/>
    <x v="3"/>
    <n v="17728"/>
    <n v="1487"/>
    <n v="210"/>
    <n v="2469"/>
    <n v="30565"/>
    <n v="117576"/>
    <s v="Apple Watch Ultra 2 Launch"/>
    <n v="0.16521228822208614"/>
  </r>
  <r>
    <s v="A62"/>
    <x v="3"/>
    <d v="2025-09-20T00:00:00"/>
    <x v="1"/>
    <x v="0"/>
    <x v="2"/>
    <n v="18633"/>
    <n v="797"/>
    <n v="303"/>
    <n v="659"/>
    <n v="7"/>
    <n v="122189"/>
    <s v="Apple Event September 2025"/>
    <n v="0.16149571565361859"/>
  </r>
  <r>
    <s v="A189"/>
    <x v="3"/>
    <s v="2025-03-24"/>
    <x v="1"/>
    <x v="3"/>
    <x v="4"/>
    <n v="10172"/>
    <n v="1398"/>
    <n v="394"/>
    <n v="2358"/>
    <n v="59610"/>
    <n v="76321"/>
    <s v="iPhone 16 Launch"/>
    <n v="0.15675895231980713"/>
  </r>
  <r>
    <s v="A40"/>
    <x v="3"/>
    <d v="2025-09-14T00:00:00"/>
    <x v="2"/>
    <x v="7"/>
    <x v="8"/>
    <n v="19844"/>
    <n v="1020"/>
    <n v="247"/>
    <n v="2354"/>
    <n v="37792"/>
    <n v="138317"/>
    <s v="Apple Event September 2025"/>
    <n v="0.15262765965138053"/>
  </r>
  <r>
    <s v="A242"/>
    <x v="3"/>
    <d v="2025-09-12T00:00:00"/>
    <x v="0"/>
    <x v="2"/>
    <x v="3"/>
    <n v="15918"/>
    <n v="1114"/>
    <n v="392"/>
    <n v="1641"/>
    <n v="28044"/>
    <n v="118714"/>
    <s v="Apple Event September 2025"/>
    <n v="0.14677291642097814"/>
  </r>
  <r>
    <s v="A203"/>
    <x v="3"/>
    <s v="2024-11-21"/>
    <x v="1"/>
    <x v="7"/>
    <x v="8"/>
    <n v="8229"/>
    <n v="977"/>
    <n v="152"/>
    <n v="1633"/>
    <n v="71447"/>
    <n v="67723"/>
    <s v="MacBook Air M3 Campaign"/>
    <n v="0.13818052950991538"/>
  </r>
  <r>
    <s v="A184"/>
    <x v="3"/>
    <d v="2025-10-13T00:00:00"/>
    <x v="0"/>
    <x v="0"/>
    <x v="2"/>
    <n v="19302"/>
    <n v="1367"/>
    <n v="188"/>
    <n v="637"/>
    <n v="31404"/>
    <n v="154044"/>
    <s v="Apple Event September 2025"/>
    <n v="0.13539638025499209"/>
  </r>
  <r>
    <s v="A168"/>
    <x v="3"/>
    <s v="2024-11-12"/>
    <x v="1"/>
    <x v="1"/>
    <x v="1"/>
    <n v="19022"/>
    <n v="541"/>
    <n v="575"/>
    <n v="2063"/>
    <n v="42743"/>
    <n v="150169"/>
    <s v="Apple Watch Ultra 2 Launch"/>
    <n v="0.13410224480418728"/>
  </r>
  <r>
    <s v="A147"/>
    <x v="3"/>
    <s v="2024-10-21"/>
    <x v="3"/>
    <x v="9"/>
    <x v="9"/>
    <n v="20777"/>
    <n v="962"/>
    <n v="308"/>
    <n v="2777"/>
    <n v="25529"/>
    <n v="165354"/>
    <s v="Apple Watch Ultra 2 Launch"/>
    <n v="0.13333212380710477"/>
  </r>
  <r>
    <s v="A265"/>
    <x v="3"/>
    <s v="2025-02-20"/>
    <x v="2"/>
    <x v="9"/>
    <x v="9"/>
    <n v="15703"/>
    <n v="1381"/>
    <n v="639"/>
    <n v="984"/>
    <n v="10967"/>
    <n v="133747"/>
    <s v="MacBook Air M3 Campaign"/>
    <n v="0.13251138343289942"/>
  </r>
  <r>
    <s v="A1"/>
    <x v="3"/>
    <s v="2024-12-23"/>
    <x v="1"/>
    <x v="6"/>
    <x v="7"/>
    <n v="24516"/>
    <n v="976"/>
    <n v="974"/>
    <n v="2675"/>
    <n v="23275"/>
    <n v="202932"/>
    <s v="Apple Watch Ultra 2 Launch"/>
    <n v="0.13041807107799658"/>
  </r>
  <r>
    <s v="A53"/>
    <x v="3"/>
    <s v="2025-02-24"/>
    <x v="1"/>
    <x v="0"/>
    <x v="2"/>
    <n v="23949"/>
    <n v="356"/>
    <n v="616"/>
    <n v="1847"/>
    <n v="3144"/>
    <n v="192999"/>
    <s v="iPhone 16 Launch"/>
    <n v="0.12912502137316773"/>
  </r>
  <r>
    <s v="A194"/>
    <x v="3"/>
    <s v="2024-10-02"/>
    <x v="0"/>
    <x v="2"/>
    <x v="3"/>
    <n v="5086"/>
    <n v="1336"/>
    <n v="897"/>
    <n v="1715"/>
    <n v="60592"/>
    <n v="57772"/>
    <s v="Sustainability Awareness Drive"/>
    <n v="0.12668766876687668"/>
  </r>
  <r>
    <s v="A135"/>
    <x v="3"/>
    <s v="2024-11-28"/>
    <x v="2"/>
    <x v="9"/>
    <x v="9"/>
    <n v="19055"/>
    <n v="443"/>
    <n v="976"/>
    <n v="869"/>
    <n v="75437"/>
    <n v="161863"/>
    <s v="Sustainability Awareness Drive"/>
    <n v="0.12648968572187591"/>
  </r>
  <r>
    <s v="A157"/>
    <x v="3"/>
    <s v="2024-07-23"/>
    <x v="0"/>
    <x v="5"/>
    <x v="6"/>
    <n v="24877"/>
    <n v="262"/>
    <n v="513"/>
    <n v="648"/>
    <n v="47544"/>
    <n v="208280"/>
    <s v="Sustainability Awareness Drive"/>
    <n v="0.12316112924908777"/>
  </r>
  <r>
    <s v="A250"/>
    <x v="3"/>
    <s v="2024-06-22"/>
    <x v="3"/>
    <x v="7"/>
    <x v="8"/>
    <n v="7342"/>
    <n v="906"/>
    <n v="902"/>
    <n v="1199"/>
    <n v="68488"/>
    <n v="79310"/>
    <s v="Apple Watch Ultra 2 Launch"/>
    <n v="0.1153700668263775"/>
  </r>
  <r>
    <s v="A161"/>
    <x v="3"/>
    <d v="2025-10-06T00:00:00"/>
    <x v="0"/>
    <x v="4"/>
    <x v="5"/>
    <n v="22028"/>
    <n v="355"/>
    <n v="665"/>
    <n v="1859"/>
    <n v="50565"/>
    <n v="202962"/>
    <s v="Apple Event September 2025"/>
    <n v="0.11355820301337197"/>
  </r>
  <r>
    <s v="A195"/>
    <x v="3"/>
    <s v="2024-08-15"/>
    <x v="1"/>
    <x v="9"/>
    <x v="9"/>
    <n v="15503"/>
    <n v="313"/>
    <n v="388"/>
    <n v="1078"/>
    <n v="11500"/>
    <n v="143754"/>
    <s v="iPhone 16 Launch"/>
    <n v="0.1127203416948398"/>
  </r>
  <r>
    <s v="A146"/>
    <x v="3"/>
    <s v="2024-06-05"/>
    <x v="3"/>
    <x v="5"/>
    <x v="6"/>
    <n v="18907"/>
    <n v="1075"/>
    <n v="675"/>
    <n v="1383"/>
    <n v="17875"/>
    <n v="186649"/>
    <s v="Apple Watch Ultra 2 Launch"/>
    <n v="0.11067297440650634"/>
  </r>
  <r>
    <s v="A284"/>
    <x v="3"/>
    <s v="2024-09-17"/>
    <x v="0"/>
    <x v="2"/>
    <x v="3"/>
    <n v="20410"/>
    <n v="1332"/>
    <n v="472"/>
    <n v="1202"/>
    <n v="9418"/>
    <n v="200806"/>
    <s v="Apple Watch Ultra 2 Launch"/>
    <n v="0.11062418453631864"/>
  </r>
  <r>
    <s v="A180"/>
    <x v="3"/>
    <d v="2025-10-11T00:00:00"/>
    <x v="2"/>
    <x v="7"/>
    <x v="8"/>
    <n v="15623"/>
    <n v="869"/>
    <n v="423"/>
    <n v="371"/>
    <n v="47579"/>
    <n v="158516"/>
    <s v="Apple Event September 2025"/>
    <n v="0.10670847106916652"/>
  </r>
  <r>
    <s v="A214"/>
    <x v="3"/>
    <s v="2024-12-23"/>
    <x v="0"/>
    <x v="4"/>
    <x v="5"/>
    <n v="18616"/>
    <n v="1277"/>
    <n v="734"/>
    <n v="2249"/>
    <n v="3399"/>
    <n v="193515"/>
    <s v="iPhone 16 Launch"/>
    <n v="0.10659122031883833"/>
  </r>
  <r>
    <s v="A86"/>
    <x v="3"/>
    <s v="2025-01-27"/>
    <x v="2"/>
    <x v="9"/>
    <x v="9"/>
    <n v="8949"/>
    <n v="1477"/>
    <n v="424"/>
    <n v="1030"/>
    <n v="58052"/>
    <n v="123310"/>
    <s v="Apple Watch Ultra 2 Launch"/>
    <n v="8.7989619657773091E-2"/>
  </r>
  <r>
    <s v="A55"/>
    <x v="3"/>
    <s v="2024-06-17"/>
    <x v="2"/>
    <x v="6"/>
    <x v="7"/>
    <n v="6976"/>
    <n v="1320"/>
    <n v="393"/>
    <n v="2285"/>
    <n v="14049"/>
    <n v="101367"/>
    <s v="MacBook Air M3 Campaign"/>
    <n v="8.5718231771681114E-2"/>
  </r>
  <r>
    <s v="A215"/>
    <x v="3"/>
    <d v="2025-09-25T00:00:00"/>
    <x v="0"/>
    <x v="5"/>
    <x v="6"/>
    <n v="8371"/>
    <n v="960"/>
    <n v="548"/>
    <n v="2936"/>
    <n v="82543"/>
    <n v="119973"/>
    <s v="Apple Event September 2025"/>
    <n v="8.2343527293641069E-2"/>
  </r>
  <r>
    <s v="A212"/>
    <x v="3"/>
    <s v="2025-03-03"/>
    <x v="0"/>
    <x v="6"/>
    <x v="7"/>
    <n v="9561"/>
    <n v="642"/>
    <n v="581"/>
    <n v="2572"/>
    <n v="38552"/>
    <n v="133680"/>
    <s v="Apple Watch Ultra 2 Launch"/>
    <n v="8.0670257330939563E-2"/>
  </r>
  <r>
    <s v="A191"/>
    <x v="3"/>
    <d v="2025-10-14T00:00:00"/>
    <x v="2"/>
    <x v="5"/>
    <x v="6"/>
    <n v="9673"/>
    <n v="393"/>
    <n v="846"/>
    <n v="1028"/>
    <n v="55556"/>
    <n v="136652"/>
    <s v="Apple Event September 2025"/>
    <n v="7.9852471972601938E-2"/>
  </r>
  <r>
    <s v="A59"/>
    <x v="3"/>
    <s v="2024-06-22"/>
    <x v="1"/>
    <x v="7"/>
    <x v="8"/>
    <n v="16430"/>
    <n v="488"/>
    <n v="514"/>
    <n v="1436"/>
    <n v="30059"/>
    <n v="223305"/>
    <s v="iPhone 16 Launch"/>
    <n v="7.8063634938760881E-2"/>
  </r>
  <r>
    <s v="A124"/>
    <x v="3"/>
    <s v="2025-04-06"/>
    <x v="3"/>
    <x v="5"/>
    <x v="6"/>
    <n v="8238"/>
    <n v="766"/>
    <n v="235"/>
    <n v="1273"/>
    <n v="4706"/>
    <n v="119141"/>
    <s v="iPhone 16 Launch"/>
    <n v="7.7546772311798629E-2"/>
  </r>
  <r>
    <s v="A101"/>
    <x v="3"/>
    <s v="2024-10-18"/>
    <x v="2"/>
    <x v="1"/>
    <x v="1"/>
    <n v="6892"/>
    <n v="1184"/>
    <n v="925"/>
    <n v="1062"/>
    <n v="75008"/>
    <n v="116260"/>
    <s v="MacBook Air M3 Campaign"/>
    <n v="7.7421297092723204E-2"/>
  </r>
  <r>
    <s v="A11"/>
    <x v="3"/>
    <s v="2025-02-02"/>
    <x v="2"/>
    <x v="0"/>
    <x v="0"/>
    <n v="12136"/>
    <n v="1117"/>
    <n v="834"/>
    <n v="892"/>
    <n v="23275"/>
    <n v="183273"/>
    <s v="Sustainability Awareness Drive"/>
    <n v="7.6863476889667326E-2"/>
  </r>
  <r>
    <s v="A112"/>
    <x v="3"/>
    <s v="2024-10-05"/>
    <x v="2"/>
    <x v="1"/>
    <x v="1"/>
    <n v="16388"/>
    <n v="1208"/>
    <n v="417"/>
    <n v="2306"/>
    <n v="16865"/>
    <n v="236733"/>
    <s v="Apple Watch Ultra 2 Launch"/>
    <n v="7.6089940988370866E-2"/>
  </r>
  <r>
    <s v="A211"/>
    <x v="3"/>
    <d v="2025-09-24T00:00:00"/>
    <x v="1"/>
    <x v="8"/>
    <x v="4"/>
    <n v="11795"/>
    <n v="958"/>
    <n v="814"/>
    <n v="301"/>
    <n v="12564"/>
    <n v="179999"/>
    <s v="Apple Event September 2025"/>
    <n v="7.5372640959116444E-2"/>
  </r>
  <r>
    <s v="A239"/>
    <x v="3"/>
    <d v="2025-09-10T00:00:00"/>
    <x v="1"/>
    <x v="1"/>
    <x v="1"/>
    <n v="13613"/>
    <n v="350"/>
    <n v="809"/>
    <n v="2013"/>
    <n v="20471"/>
    <n v="198038"/>
    <s v="Apple Event September 2025"/>
    <n v="7.4591745018632791E-2"/>
  </r>
  <r>
    <s v="A177"/>
    <x v="3"/>
    <s v="2024-07-10"/>
    <x v="1"/>
    <x v="5"/>
    <x v="6"/>
    <n v="8809"/>
    <n v="1151"/>
    <n v="908"/>
    <n v="883"/>
    <n v="42921"/>
    <n v="151279"/>
    <s v="MacBook Air M3 Campaign"/>
    <n v="7.1840771025720687E-2"/>
  </r>
  <r>
    <s v="A192"/>
    <x v="3"/>
    <d v="2025-10-15T00:00:00"/>
    <x v="1"/>
    <x v="7"/>
    <x v="8"/>
    <n v="8882"/>
    <n v="701"/>
    <n v="421"/>
    <n v="2343"/>
    <n v="13588"/>
    <n v="139304"/>
    <s v="Apple Event September 2025"/>
    <n v="7.1814161833113191E-2"/>
  </r>
  <r>
    <s v="A115"/>
    <x v="3"/>
    <d v="2025-09-30T00:00:00"/>
    <x v="3"/>
    <x v="6"/>
    <x v="7"/>
    <n v="8269"/>
    <n v="250"/>
    <n v="638"/>
    <n v="815"/>
    <n v="41991"/>
    <n v="129393"/>
    <s v="Apple Event September 2025"/>
    <n v="7.0768897853825175E-2"/>
  </r>
  <r>
    <s v="A257"/>
    <x v="3"/>
    <s v="2025-04-06"/>
    <x v="2"/>
    <x v="0"/>
    <x v="2"/>
    <n v="15917"/>
    <n v="1479"/>
    <n v="196"/>
    <n v="313"/>
    <n v="48524"/>
    <n v="249684"/>
    <s v="iPhone 16 Launch"/>
    <n v="7.0457057720959296E-2"/>
  </r>
  <r>
    <s v="A222"/>
    <x v="3"/>
    <s v="2024-10-08"/>
    <x v="3"/>
    <x v="8"/>
    <x v="4"/>
    <n v="8738"/>
    <n v="295"/>
    <n v="529"/>
    <n v="442"/>
    <n v="25286"/>
    <n v="147522"/>
    <s v="iPhone 16 Launch"/>
    <n v="6.4817450956467515E-2"/>
  </r>
  <r>
    <s v="A154"/>
    <x v="3"/>
    <s v="2024-10-09"/>
    <x v="0"/>
    <x v="9"/>
    <x v="9"/>
    <n v="7240"/>
    <n v="1384"/>
    <n v="954"/>
    <n v="2335"/>
    <n v="6757"/>
    <n v="150448"/>
    <s v="Sustainability Awareness Drive"/>
    <n v="6.3663192598106988E-2"/>
  </r>
  <r>
    <s v="A85"/>
    <x v="3"/>
    <s v="2025-04-19"/>
    <x v="1"/>
    <x v="2"/>
    <x v="3"/>
    <n v="8881"/>
    <n v="210"/>
    <n v="673"/>
    <n v="1565"/>
    <n v="24847"/>
    <n v="156891"/>
    <s v="Sustainability Awareness Drive"/>
    <n v="6.223429004850501E-2"/>
  </r>
  <r>
    <s v="A270"/>
    <x v="3"/>
    <s v="2025-01-15"/>
    <x v="3"/>
    <x v="1"/>
    <x v="1"/>
    <n v="11333"/>
    <n v="920"/>
    <n v="294"/>
    <n v="606"/>
    <n v="59490"/>
    <n v="202082"/>
    <s v="Sustainability Awareness Drive"/>
    <n v="6.2088657079799291E-2"/>
  </r>
  <r>
    <s v="A169"/>
    <x v="3"/>
    <s v="2024-12-03"/>
    <x v="1"/>
    <x v="2"/>
    <x v="3"/>
    <n v="2055"/>
    <n v="675"/>
    <n v="257"/>
    <n v="820"/>
    <n v="33534"/>
    <n v="48125"/>
    <s v="Apple Watch Ultra 2 Launch"/>
    <n v="6.2067532467532466E-2"/>
  </r>
  <r>
    <s v="A81"/>
    <x v="3"/>
    <s v="2024-10-19"/>
    <x v="2"/>
    <x v="0"/>
    <x v="0"/>
    <n v="6673"/>
    <n v="826"/>
    <n v="321"/>
    <n v="577"/>
    <n v="19262"/>
    <n v="132324"/>
    <s v="MacBook Air M3 Campaign"/>
    <n v="5.9097367068710133E-2"/>
  </r>
  <r>
    <s v="A48"/>
    <x v="3"/>
    <s v="2025-03-11"/>
    <x v="2"/>
    <x v="6"/>
    <x v="7"/>
    <n v="7997"/>
    <n v="1238"/>
    <n v="438"/>
    <n v="1874"/>
    <n v="36272"/>
    <n v="165818"/>
    <s v="MacBook Air M3 Campaign"/>
    <n v="5.8335042034037318E-2"/>
  </r>
  <r>
    <s v="A20"/>
    <x v="3"/>
    <s v="2024-09-09"/>
    <x v="0"/>
    <x v="4"/>
    <x v="5"/>
    <n v="6158"/>
    <n v="277"/>
    <n v="512"/>
    <n v="2189"/>
    <n v="76881"/>
    <n v="124878"/>
    <s v="iPhone 16 Launch"/>
    <n v="5.563029516808405E-2"/>
  </r>
  <r>
    <s v="A12"/>
    <x v="3"/>
    <s v="2024-07-21"/>
    <x v="3"/>
    <x v="1"/>
    <x v="1"/>
    <n v="2009"/>
    <n v="1072"/>
    <n v="550"/>
    <n v="1437"/>
    <n v="23275"/>
    <n v="69426"/>
    <s v="iPhone 16 Launch"/>
    <n v="5.2300290957278256E-2"/>
  </r>
  <r>
    <s v="A269"/>
    <x v="3"/>
    <s v="2024-11-05"/>
    <x v="3"/>
    <x v="8"/>
    <x v="4"/>
    <n v="8469"/>
    <n v="935"/>
    <n v="211"/>
    <n v="2635"/>
    <n v="21890"/>
    <n v="184539"/>
    <s v="MacBook Air M3 Campaign"/>
    <n v="5.2102807536618279E-2"/>
  </r>
  <r>
    <s v="A9"/>
    <x v="3"/>
    <s v="2024-08-30"/>
    <x v="2"/>
    <x v="1"/>
    <x v="1"/>
    <n v="6804"/>
    <n v="787"/>
    <n v="970"/>
    <n v="1095"/>
    <n v="23275"/>
    <n v="164677"/>
    <s v="Apple Watch Ultra 2 Launch"/>
    <n v="5.1986616224487935E-2"/>
  </r>
  <r>
    <s v="A200"/>
    <x v="3"/>
    <s v="2025-04-07"/>
    <x v="2"/>
    <x v="5"/>
    <x v="6"/>
    <n v="3062"/>
    <n v="1124"/>
    <n v="538"/>
    <n v="2935"/>
    <n v="69749"/>
    <n v="91924"/>
    <s v="iPhone 16 Launch"/>
    <n v="5.1390278926069365E-2"/>
  </r>
  <r>
    <s v="A65"/>
    <x v="3"/>
    <s v="2025-03-28"/>
    <x v="3"/>
    <x v="6"/>
    <x v="7"/>
    <n v="6363"/>
    <n v="1341"/>
    <n v="222"/>
    <n v="2712"/>
    <n v="19987"/>
    <n v="160585"/>
    <s v="Sustainability Awareness Drive"/>
    <n v="4.9357038328611019E-2"/>
  </r>
  <r>
    <s v="A298"/>
    <x v="3"/>
    <d v="2025-09-24T00:00:00"/>
    <x v="3"/>
    <x v="9"/>
    <x v="9"/>
    <n v="3342"/>
    <n v="787"/>
    <n v="375"/>
    <n v="907"/>
    <n v="85823"/>
    <n v="99189"/>
    <s v="Apple Event September 2025"/>
    <n v="4.5408260996683103E-2"/>
  </r>
  <r>
    <s v="A256"/>
    <x v="3"/>
    <d v="2025-09-17T00:00:00"/>
    <x v="2"/>
    <x v="2"/>
    <x v="3"/>
    <n v="2117"/>
    <n v="1133"/>
    <n v="203"/>
    <n v="1173"/>
    <n v="40125"/>
    <n v="85379"/>
    <s v="Apple Event September 2025"/>
    <n v="4.0443200318579509E-2"/>
  </r>
  <r>
    <s v="A182"/>
    <x v="3"/>
    <s v="2024-07-31"/>
    <x v="0"/>
    <x v="4"/>
    <x v="5"/>
    <n v="7122"/>
    <n v="628"/>
    <n v="757"/>
    <n v="2313"/>
    <n v="50924"/>
    <n v="210954"/>
    <s v="MacBook Air M3 Campaign"/>
    <n v="4.0326327066564277E-2"/>
  </r>
  <r>
    <s v="A79"/>
    <x v="3"/>
    <d v="2025-09-22T00:00:00"/>
    <x v="0"/>
    <x v="10"/>
    <x v="10"/>
    <n v="8996"/>
    <n v="329"/>
    <n v="378"/>
    <n v="2384"/>
    <n v="39404"/>
    <n v="242724"/>
    <s v="Apple Event September 2025"/>
    <n v="3.9975445361810122E-2"/>
  </r>
  <r>
    <s v="A14"/>
    <x v="3"/>
    <d v="2025-09-06T00:00:00"/>
    <x v="3"/>
    <x v="7"/>
    <x v="8"/>
    <n v="7124"/>
    <n v="469"/>
    <n v="851"/>
    <n v="2571"/>
    <n v="23275"/>
    <n v="216313"/>
    <s v="Apple Event September 2025"/>
    <n v="3.9036026498638549E-2"/>
  </r>
  <r>
    <s v="A178"/>
    <x v="3"/>
    <d v="2025-10-10T00:00:00"/>
    <x v="2"/>
    <x v="4"/>
    <x v="5"/>
    <n v="6621"/>
    <n v="922"/>
    <n v="930"/>
    <n v="694"/>
    <n v="839"/>
    <n v="243532"/>
    <s v="Apple Event September 2025"/>
    <n v="3.479214230573395E-2"/>
  </r>
  <r>
    <s v="A110"/>
    <x v="3"/>
    <s v="2024-07-29"/>
    <x v="0"/>
    <x v="7"/>
    <x v="8"/>
    <n v="6164"/>
    <n v="326"/>
    <n v="615"/>
    <n v="2806"/>
    <n v="38579"/>
    <n v="206129"/>
    <s v="MacBook Air M3 Campaign"/>
    <n v="3.4468706489625425E-2"/>
  </r>
  <r>
    <s v="A292"/>
    <x v="3"/>
    <s v="2024-11-17"/>
    <x v="2"/>
    <x v="2"/>
    <x v="3"/>
    <n v="4219"/>
    <n v="240"/>
    <n v="670"/>
    <n v="815"/>
    <n v="11978"/>
    <n v="159735"/>
    <s v="iPhone 16 Launch"/>
    <n v="3.2109431245500357E-2"/>
  </r>
  <r>
    <s v="A173"/>
    <x v="3"/>
    <s v="2024-12-05"/>
    <x v="3"/>
    <x v="0"/>
    <x v="2"/>
    <n v="4125"/>
    <n v="1364"/>
    <n v="319"/>
    <n v="2848"/>
    <n v="15379"/>
    <n v="188159"/>
    <s v="MacBook Air M3 Campaign"/>
    <n v="3.0867510988047343E-2"/>
  </r>
  <r>
    <s v="A245"/>
    <x v="3"/>
    <s v="2025-01-12"/>
    <x v="1"/>
    <x v="0"/>
    <x v="0"/>
    <n v="4590"/>
    <n v="713"/>
    <n v="479"/>
    <n v="2730"/>
    <n v="41050"/>
    <n v="204246"/>
    <s v="Sustainability Awareness Drive"/>
    <n v="2.8308999931455206E-2"/>
  </r>
  <r>
    <s v="A41"/>
    <x v="3"/>
    <d v="2025-09-15T00:00:00"/>
    <x v="3"/>
    <x v="1"/>
    <x v="1"/>
    <n v="5636"/>
    <n v="303"/>
    <n v="204"/>
    <n v="2480"/>
    <n v="7377"/>
    <n v="241207"/>
    <s v="Apple Event September 2025"/>
    <n v="2.5467751765081443E-2"/>
  </r>
  <r>
    <s v="A188"/>
    <x v="3"/>
    <s v="2024-06-06"/>
    <x v="2"/>
    <x v="10"/>
    <x v="10"/>
    <n v="3531"/>
    <n v="789"/>
    <n v="467"/>
    <n v="1867"/>
    <n v="40816"/>
    <n v="236037"/>
    <s v="Sustainability Awareness Drive"/>
    <n v="2.0280718700881641E-2"/>
  </r>
  <r>
    <s v="A4"/>
    <x v="3"/>
    <s v="2024-08-12"/>
    <x v="0"/>
    <x v="0"/>
    <x v="0"/>
    <n v="3581"/>
    <n v="517"/>
    <n v="880"/>
    <n v="1925"/>
    <n v="23275"/>
    <n v="248611"/>
    <s v="iPhone 16 Launch"/>
    <n v="2.002324917240186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EA742-FC04-41CE-95B4-C01D02962CAE}" name="PivotTable12" cacheId="3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8:B41" firstHeaderRow="1" firstDataRow="1" firstDataCol="1"/>
  <pivotFields count="13"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13">
        <item x="5"/>
        <item x="0"/>
        <item x="2"/>
        <item x="3"/>
        <item x="8"/>
        <item x="7"/>
        <item x="10"/>
        <item x="6"/>
        <item x="1"/>
        <item x="9"/>
        <item x="4"/>
        <item x="11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outline="0" showAll="0"/>
    <pivotField compact="0" numFmtId="167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Clicks" fld="8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65D2B-A87F-4E8E-95E3-48F08332C1A9}" name="PivotTable10" cacheId="3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4" firstHeaderRow="0" firstDataRow="1" firstDataCol="2"/>
  <pivotFields count="13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167" outline="0" showAll="0"/>
  </pivotFields>
  <rowFields count="2">
    <field x="3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3"/>
    <dataField name="Sum of Shares" fld="6" baseField="0" baseItem="0" numFmtId="3"/>
    <dataField name="Sum of Comments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39775-F059-4E83-B995-C6CA7C3B0E6D}" name="PivotTable13" cacheId="3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8:E41" firstHeaderRow="1" firstDataRow="1" firstDataCol="1"/>
  <pivotFields count="13"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>
      <items count="5">
        <item x="2"/>
        <item x="1"/>
        <item x="3"/>
        <item x="0"/>
        <item t="default"/>
      </items>
    </pivotField>
    <pivotField axis="axisRow" compact="0" outline="0" showAll="0" sortType="descending">
      <items count="13">
        <item x="5"/>
        <item x="0"/>
        <item x="2"/>
        <item x="3"/>
        <item x="8"/>
        <item x="7"/>
        <item x="10"/>
        <item x="6"/>
        <item x="1"/>
        <item x="9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>
      <items count="6">
        <item x="2"/>
        <item x="0"/>
        <item x="1"/>
        <item x="4"/>
        <item x="3"/>
        <item t="default"/>
      </items>
    </pivotField>
    <pivotField dataField="1" compact="0" numFmtId="167" outline="0" showAll="0"/>
  </pivotFields>
  <rowFields count="1">
    <field x="4"/>
  </rowFields>
  <rowItems count="13">
    <i>
      <x v="10"/>
    </i>
    <i>
      <x v="5"/>
    </i>
    <i>
      <x v="3"/>
    </i>
    <i>
      <x v="2"/>
    </i>
    <i>
      <x v="7"/>
    </i>
    <i>
      <x v="11"/>
    </i>
    <i>
      <x v="8"/>
    </i>
    <i>
      <x v="6"/>
    </i>
    <i>
      <x v="4"/>
    </i>
    <i>
      <x v="1"/>
    </i>
    <i>
      <x/>
    </i>
    <i>
      <x v="9"/>
    </i>
    <i t="grand">
      <x/>
    </i>
  </rowItems>
  <colItems count="1">
    <i/>
  </colItems>
  <dataFields count="1">
    <dataField name="Average of Engagement" fld="12" subtotal="average" baseField="0" baseItem="0" numFmtId="167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84409-C815-4541-9989-1AEC085C1C0E}" name="PivotTable7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8" firstHeaderRow="0" firstDataRow="1" firstDataCol="1"/>
  <pivotFields count="8">
    <pivotField compact="0" outline="0" showAll="0"/>
    <pivotField axis="axisRow" compact="0" outline="0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 numFmtId="170"/>
    <dataField name="Sum of Engagement_Rate" fld="5" baseField="0" baseItem="0"/>
  </dataFields>
  <formats count="6">
    <format dxfId="25">
      <pivotArea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26">
      <pivotArea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27">
      <pivotArea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28">
      <pivotArea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format>
    <format dxfId="29">
      <pivotArea field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0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18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8E7C5-C6FD-4E79-9DF3-B3DFA6DEC6B9}" name="PivotTable9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8" firstHeaderRow="1" firstDataRow="1" firstDataCol="1"/>
  <pivotFields count="8">
    <pivotField compact="0" outline="0" showAll="0"/>
    <pivotField axis="axisRow" compact="0" outline="0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Follower_Growth_Rat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66B08-C01E-42F6-81AC-5C824FFA63C3}" name="PivotTable8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2:B17" firstHeaderRow="1" firstDataRow="1" firstDataCol="1"/>
  <pivotFields count="8">
    <pivotField compact="0" outline="0" showAll="0"/>
    <pivotField axis="axisRow" compact="0" outline="0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Engagement_Rate" fld="5" baseField="0" baseItem="0"/>
  </dataFields>
  <formats count="5">
    <format dxfId="20">
      <pivotArea outline="0" fieldPosition="0">
        <references count="1">
          <reference field="1" count="1" selected="0">
            <x v="2"/>
          </reference>
        </references>
      </pivotArea>
    </format>
    <format dxfId="21">
      <pivotArea outline="0" fieldPosition="0">
        <references count="1">
          <reference field="1" count="1" selected="0">
            <x v="0"/>
          </reference>
        </references>
      </pivotArea>
    </format>
    <format dxfId="22">
      <pivotArea outline="0" fieldPosition="0">
        <references count="1">
          <reference field="1" count="1" selected="0">
            <x v="1"/>
          </reference>
        </references>
      </pivotArea>
    </format>
    <format dxfId="23">
      <pivotArea outline="0" fieldPosition="0">
        <references count="1">
          <reference field="1" count="1" selected="0">
            <x v="3"/>
          </reference>
        </references>
      </pivotArea>
    </format>
    <format dxfId="24">
      <pivotArea grandRow="1"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43170-7147-4EC2-90EC-BF55D8E07F2F}" name="PivotTable4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K15" firstHeaderRow="0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4"/>
        <item x="0"/>
        <item x="2"/>
        <item x="7"/>
        <item x="6"/>
        <item x="9"/>
        <item x="5"/>
        <item x="1"/>
        <item x="8"/>
        <item x="3"/>
        <item x="10"/>
        <item t="default"/>
      </items>
    </pivotField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compact="0" numFmtId="3" outline="0" showAll="0"/>
    <pivotField dataField="1" compact="0" numFmtId="3" outline="0" showAll="0"/>
    <pivotField compact="0" outline="0" showAll="0"/>
    <pivotField dataField="1" compact="0" numFmtId="167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Likes" fld="6" subtotal="average" baseField="0" baseItem="0" numFmtId="3"/>
    <dataField name="Average of Shares" fld="7" subtotal="average" baseField="0" baseItem="0" numFmtId="3"/>
    <dataField name="Average of Comments" fld="8" subtotal="average" baseField="0" baseItem="0" numFmtId="3"/>
    <dataField name="Average of Clicks" fld="9" subtotal="average" baseField="0" baseItem="0" numFmtId="3"/>
    <dataField name="Average of Impressions" fld="11" subtotal="average" baseField="0" baseItem="0" numFmtId="3"/>
    <dataField name="Average of Engagement" fld="13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3192D-CD27-4C26-8EA1-67ADBA068597}" name="PivotTable3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H25" firstHeaderRow="0" firstDataRow="1" firstDataCol="1"/>
  <pivotFields count="14">
    <pivotField compact="0" outline="0" showAll="0"/>
    <pivotField compact="0" outline="0" showAll="0" sortType="descending">
      <items count="5">
        <item x="3"/>
        <item x="2"/>
        <item x="1"/>
        <item x="0"/>
        <item t="default"/>
      </items>
    </pivotField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>
      <items count="12">
        <item x="4"/>
        <item x="0"/>
        <item x="2"/>
        <item x="7"/>
        <item x="6"/>
        <item x="9"/>
        <item x="5"/>
        <item x="1"/>
        <item x="8"/>
        <item x="3"/>
        <item x="10"/>
        <item t="default"/>
      </items>
    </pivotField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compact="0" outline="0" showAll="0"/>
    <pivotField dataField="1" compact="0" numFmtId="167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Likes" fld="6" subtotal="average" baseField="0" baseItem="0" numFmtId="3"/>
    <dataField name="Average of Shares" fld="7" subtotal="average" baseField="0" baseItem="0" numFmtId="3"/>
    <dataField name="Average of Comments" fld="8" subtotal="average" baseField="0" baseItem="0" numFmtId="3"/>
    <dataField name="Average of Clicks" fld="9" subtotal="average" baseField="0" baseItem="0" numFmtId="3"/>
    <dataField name="Average of Reach" fld="10" subtotal="average" baseField="0" baseItem="0" numFmtId="3"/>
    <dataField name="Average of Impressions" fld="11" subtotal="average" baseField="0" baseItem="0" numFmtId="3"/>
    <dataField name="Average of Engagement" fld="13" subtotal="average" baseField="0" baseItem="0" numFmtId="10"/>
  </dataFields>
  <formats count="1">
    <format dxfId="19">
      <pivotArea outline="0" fieldPosition="0">
        <references count="1">
          <reference field="429496729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BC5A0-D422-4311-ACB6-EB0EEA1C1314}" name="PivotTable2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2">
        <item x="4"/>
        <item x="0"/>
        <item x="2"/>
        <item x="7"/>
        <item x="6"/>
        <item x="9"/>
        <item x="5"/>
        <item x="1"/>
        <item x="8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outline="0" showAll="0"/>
    <pivotField compact="0" numFmtId="167" outline="0" showAll="0"/>
  </pivotFields>
  <rowFields count="1">
    <field x="4"/>
  </rowFields>
  <rowItems count="12">
    <i>
      <x v="1"/>
    </i>
    <i>
      <x v="3"/>
    </i>
    <i>
      <x v="2"/>
    </i>
    <i>
      <x v="5"/>
    </i>
    <i>
      <x v="7"/>
    </i>
    <i>
      <x v="6"/>
    </i>
    <i>
      <x/>
    </i>
    <i>
      <x v="4"/>
    </i>
    <i>
      <x v="8"/>
    </i>
    <i>
      <x v="9"/>
    </i>
    <i>
      <x v="10"/>
    </i>
    <i t="grand">
      <x/>
    </i>
  </rowItems>
  <colItems count="1">
    <i/>
  </colItems>
  <dataFields count="1">
    <dataField name="Count of Click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5E52A-1536-4AC5-A20F-59F7E272ABBE}" name="PivotTable2" cacheId="3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D18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dataField="1" compact="0" numFmtId="3" outline="0" showAll="0"/>
    <pivotField axis="axisRow" compact="0" outline="0" showAll="0">
      <items count="6">
        <item x="2"/>
        <item x="0"/>
        <item x="1"/>
        <item x="4"/>
        <item x="3"/>
        <item t="default"/>
      </items>
    </pivotField>
    <pivotField compact="0" numFmtId="167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10" subtotal="average" baseField="0" baseItem="0" numFmtId="3"/>
    <dataField name="Average of Likes" fld="5" subtotal="average" baseField="0" baseItem="0" numFmtId="3"/>
    <dataField name="Sum of Clicks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3FED2-B6A5-4AA2-AF21-B75B26EB8343}" name="PivotTable1" cacheId="3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dataField="1" compact="0" numFmtId="3" outline="0" showAll="0"/>
    <pivotField axis="axisRow" compact="0" outline="0" showAll="0">
      <items count="6">
        <item x="2"/>
        <item x="0"/>
        <item x="1"/>
        <item x="4"/>
        <item x="3"/>
        <item t="default"/>
      </items>
    </pivotField>
    <pivotField compact="0" numFmtId="167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10" baseField="0" baseItem="0" numFmtId="3"/>
    <dataField name="Sum of Likes" fld="5" baseField="0" baseItem="0" numFmtId="3"/>
    <dataField name="Sum of Clicks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3AD8-2B22-430B-B977-77B482389071}" name="PivotTable6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94" firstHeaderRow="1" firstDataRow="2" firstDataCol="1"/>
  <pivotFields count="8">
    <pivotField axis="axisRow" compact="0" outline="0" showAll="0">
      <items count="90">
        <item x="1"/>
        <item x="3"/>
        <item x="0"/>
        <item x="13"/>
        <item x="10"/>
        <item x="35"/>
        <item x="16"/>
        <item x="34"/>
        <item x="36"/>
        <item x="7"/>
        <item x="2"/>
        <item x="17"/>
        <item x="31"/>
        <item x="4"/>
        <item x="5"/>
        <item x="45"/>
        <item x="6"/>
        <item x="9"/>
        <item x="18"/>
        <item x="47"/>
        <item x="8"/>
        <item x="38"/>
        <item x="37"/>
        <item x="42"/>
        <item x="32"/>
        <item x="11"/>
        <item x="27"/>
        <item x="22"/>
        <item x="23"/>
        <item x="33"/>
        <item x="12"/>
        <item x="46"/>
        <item x="15"/>
        <item x="48"/>
        <item x="24"/>
        <item x="49"/>
        <item x="39"/>
        <item x="14"/>
        <item x="25"/>
        <item x="44"/>
        <item x="30"/>
        <item x="20"/>
        <item x="40"/>
        <item x="28"/>
        <item x="19"/>
        <item x="41"/>
        <item x="21"/>
        <item x="43"/>
        <item x="29"/>
        <item x="2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Follower_Growth_Rate" fld="7" baseField="0" baseItem="0"/>
  </dataFields>
  <formats count="7">
    <format dxfId="12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outline="0" fieldPosition="0">
        <references count="1">
          <reference field="0" count="3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14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outline="0" fieldPosition="0">
        <references count="1">
          <reference field="0" count="3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16">
      <pivotArea outline="0" collapsedLevelsAreSubtotals="1" fieldPosition="0"/>
    </format>
    <format dxfId="1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">
      <pivotArea dataOnly="0" labelOnly="1" outline="0" fieldPosition="0">
        <references count="1">
          <reference field="0" count="3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</format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09F64-D013-4D70-9EB2-102985B764EE}" name="Table1" displayName="Table1" ref="A1:H201" totalsRowShown="0" headerRowDxfId="11" dataDxfId="10" headerRowBorderDxfId="8" tableBorderDxfId="9">
  <autoFilter ref="A1:H201" xr:uid="{7A309F64-D013-4D70-9EB2-102985B764EE}"/>
  <sortState xmlns:xlrd2="http://schemas.microsoft.com/office/spreadsheetml/2017/richdata2" ref="A2:G201">
    <sortCondition ref="B1:B201"/>
  </sortState>
  <tableColumns count="8">
    <tableColumn id="1" xr3:uid="{733B0D81-F2A3-43AE-80E7-3949A5144F88}" name="Week_Start_Date" dataDxfId="7"/>
    <tableColumn id="2" xr3:uid="{4D1509FE-C208-4F17-8F02-8A8CC3444A70}" name="Platform" dataDxfId="6"/>
    <tableColumn id="3" xr3:uid="{9D84AF25-6CC7-4E07-B5FA-194FC4B80D01}" name="New_Followers" dataDxfId="5"/>
    <tableColumn id="4" xr3:uid="{DCD9EF14-6B3A-473C-8EE7-B09526B02CB5}" name="Unfollows" dataDxfId="4"/>
    <tableColumn id="5" xr3:uid="{1FD82A03-749F-4AC6-A8FB-8BD2CAAF3F4C}" name="Total_Followers" dataDxfId="3"/>
    <tableColumn id="6" xr3:uid="{0578E9A9-DF5B-4729-95EC-86C4F3C2359E}" name="Engagement_Rate" dataDxfId="2"/>
    <tableColumn id="7" xr3:uid="{2961575D-7946-466A-B544-2EFE35F36F43}" name="Ad_Spend" dataDxfId="1"/>
    <tableColumn id="8" xr3:uid="{ABF13045-EC33-47B2-B04C-5EACA2C5C35B}" name="Follower_Growth_Rate" dataDxfId="0">
      <calculatedColumnFormula>((C2-D2)/(E2-C2+D2))*100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M1" sqref="M1"/>
    </sheetView>
  </sheetViews>
  <sheetFormatPr defaultColWidth="14.42578125" defaultRowHeight="15" customHeight="1"/>
  <cols>
    <col min="1" max="1" width="8.7109375" customWidth="1"/>
    <col min="2" max="2" width="10.85546875" customWidth="1"/>
    <col min="3" max="3" width="11.140625" bestFit="1" customWidth="1"/>
    <col min="4" max="4" width="14.5703125" bestFit="1" customWidth="1"/>
    <col min="5" max="5" width="33.28515625" bestFit="1" customWidth="1"/>
    <col min="6" max="9" width="8.7109375" customWidth="1"/>
    <col min="10" max="10" width="8.5703125" bestFit="1" customWidth="1"/>
    <col min="11" max="11" width="13.85546875" bestFit="1" customWidth="1"/>
    <col min="12" max="12" width="33.42578125" customWidth="1"/>
    <col min="13" max="13" width="13.28515625" bestFit="1" customWidth="1"/>
    <col min="14" max="18" width="8.7109375" customWidth="1"/>
    <col min="19" max="19" width="27.5703125" bestFit="1" customWidth="1"/>
    <col min="20" max="20" width="12.7109375" bestFit="1" customWidth="1"/>
    <col min="21" max="21" width="11.7109375" bestFit="1" customWidth="1"/>
    <col min="22" max="26" width="8.7109375" customWidth="1"/>
  </cols>
  <sheetData>
    <row r="1" spans="1:2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6" t="s">
        <v>12</v>
      </c>
      <c r="S1" s="1"/>
      <c r="T1" s="1"/>
      <c r="U1" s="1"/>
    </row>
    <row r="2" spans="1:21" ht="14.25" customHeight="1">
      <c r="A2" s="3" t="s">
        <v>13</v>
      </c>
      <c r="B2" s="3" t="s">
        <v>14</v>
      </c>
      <c r="C2" s="29" t="s">
        <v>15</v>
      </c>
      <c r="D2" s="3" t="s">
        <v>16</v>
      </c>
      <c r="E2" s="3" t="s">
        <v>17</v>
      </c>
      <c r="F2" s="12">
        <v>2302</v>
      </c>
      <c r="G2" s="12">
        <v>347</v>
      </c>
      <c r="H2" s="12">
        <v>642</v>
      </c>
      <c r="I2" s="12">
        <v>2175</v>
      </c>
      <c r="J2" s="13">
        <v>56378</v>
      </c>
      <c r="K2" s="12">
        <v>198056</v>
      </c>
      <c r="L2" s="3" t="s">
        <v>18</v>
      </c>
      <c r="M2" s="30">
        <f>(F2 + G2 + H2 ) / K2</f>
        <v>1.6616512501514722E-2</v>
      </c>
      <c r="S2" s="3"/>
      <c r="T2" s="7"/>
      <c r="U2" s="7"/>
    </row>
    <row r="3" spans="1:21" ht="14.25" customHeight="1">
      <c r="A3" s="3" t="s">
        <v>19</v>
      </c>
      <c r="B3" s="3" t="s">
        <v>20</v>
      </c>
      <c r="C3" s="29" t="s">
        <v>21</v>
      </c>
      <c r="D3" s="3" t="s">
        <v>22</v>
      </c>
      <c r="E3" s="3" t="s">
        <v>23</v>
      </c>
      <c r="F3" s="12">
        <v>3581</v>
      </c>
      <c r="G3" s="12">
        <v>517</v>
      </c>
      <c r="H3" s="12">
        <v>880</v>
      </c>
      <c r="I3" s="12">
        <v>1925</v>
      </c>
      <c r="J3" s="13">
        <v>23275</v>
      </c>
      <c r="K3" s="12">
        <v>248611</v>
      </c>
      <c r="L3" s="3" t="s">
        <v>24</v>
      </c>
      <c r="M3" s="30">
        <f>(F3 + G3 + H3 ) / K3</f>
        <v>2.0023249172401864E-2</v>
      </c>
      <c r="S3" s="3"/>
      <c r="T3" s="7"/>
      <c r="U3" s="7"/>
    </row>
    <row r="4" spans="1:21" ht="14.25" customHeight="1">
      <c r="A4" s="3" t="s">
        <v>25</v>
      </c>
      <c r="B4" s="3" t="s">
        <v>20</v>
      </c>
      <c r="C4" s="29" t="s">
        <v>26</v>
      </c>
      <c r="D4" s="3" t="s">
        <v>16</v>
      </c>
      <c r="E4" s="3" t="s">
        <v>27</v>
      </c>
      <c r="F4" s="12">
        <v>3531</v>
      </c>
      <c r="G4" s="12">
        <v>789</v>
      </c>
      <c r="H4" s="12">
        <v>467</v>
      </c>
      <c r="I4" s="12">
        <v>1867</v>
      </c>
      <c r="J4" s="13">
        <v>40816</v>
      </c>
      <c r="K4" s="12">
        <v>236037</v>
      </c>
      <c r="L4" s="3" t="s">
        <v>28</v>
      </c>
      <c r="M4" s="30">
        <f>(F4 + G4 + H4 ) / K4</f>
        <v>2.0280718700881641E-2</v>
      </c>
      <c r="S4" s="3"/>
      <c r="T4" s="7"/>
      <c r="U4" s="7"/>
    </row>
    <row r="5" spans="1:21" ht="14.25" customHeight="1">
      <c r="A5" s="3" t="s">
        <v>29</v>
      </c>
      <c r="B5" s="3" t="s">
        <v>14</v>
      </c>
      <c r="C5" s="29" t="s">
        <v>30</v>
      </c>
      <c r="D5" s="3" t="s">
        <v>31</v>
      </c>
      <c r="E5" s="3" t="s">
        <v>32</v>
      </c>
      <c r="F5" s="12">
        <v>3252</v>
      </c>
      <c r="G5" s="12">
        <v>1043</v>
      </c>
      <c r="H5" s="12">
        <v>647</v>
      </c>
      <c r="I5" s="12">
        <v>1545</v>
      </c>
      <c r="J5" s="13">
        <v>18859</v>
      </c>
      <c r="K5" s="12">
        <v>222958</v>
      </c>
      <c r="L5" s="3" t="s">
        <v>33</v>
      </c>
      <c r="M5" s="30">
        <f>(F5 + G5 + H5 ) / K5</f>
        <v>2.2165609666394567E-2</v>
      </c>
      <c r="S5" s="3"/>
      <c r="T5" s="7"/>
      <c r="U5" s="7"/>
    </row>
    <row r="6" spans="1:21" ht="14.25" customHeight="1">
      <c r="A6" s="3" t="s">
        <v>34</v>
      </c>
      <c r="B6" s="3" t="s">
        <v>20</v>
      </c>
      <c r="C6" s="29">
        <v>45915</v>
      </c>
      <c r="D6" s="3" t="s">
        <v>35</v>
      </c>
      <c r="E6" s="3" t="s">
        <v>36</v>
      </c>
      <c r="F6" s="12">
        <v>5636</v>
      </c>
      <c r="G6" s="12">
        <v>303</v>
      </c>
      <c r="H6" s="12">
        <v>204</v>
      </c>
      <c r="I6" s="12">
        <v>2480</v>
      </c>
      <c r="J6" s="13">
        <v>7377</v>
      </c>
      <c r="K6" s="12">
        <v>241207</v>
      </c>
      <c r="L6" s="3" t="s">
        <v>37</v>
      </c>
      <c r="M6" s="30">
        <f>(F6 + G6 + H6 ) / K6</f>
        <v>2.5467751765081443E-2</v>
      </c>
      <c r="S6" s="3"/>
      <c r="T6" s="10"/>
      <c r="U6" s="10"/>
    </row>
    <row r="7" spans="1:21" ht="14.25" customHeight="1">
      <c r="A7" s="3" t="s">
        <v>38</v>
      </c>
      <c r="B7" s="3" t="s">
        <v>14</v>
      </c>
      <c r="C7" s="29" t="s">
        <v>39</v>
      </c>
      <c r="D7" s="3" t="s">
        <v>22</v>
      </c>
      <c r="E7" s="3" t="s">
        <v>40</v>
      </c>
      <c r="F7" s="12">
        <v>3605</v>
      </c>
      <c r="G7" s="12">
        <v>206</v>
      </c>
      <c r="H7" s="12">
        <v>921</v>
      </c>
      <c r="I7" s="12">
        <v>852</v>
      </c>
      <c r="J7" s="13">
        <v>11660</v>
      </c>
      <c r="K7" s="12">
        <v>182635</v>
      </c>
      <c r="L7" s="3" t="s">
        <v>24</v>
      </c>
      <c r="M7" s="30">
        <f>(F7 + G7 + H7 ) / K7</f>
        <v>2.590960111698196E-2</v>
      </c>
    </row>
    <row r="8" spans="1:21" ht="14.25" customHeight="1">
      <c r="A8" s="3" t="s">
        <v>41</v>
      </c>
      <c r="B8" s="3" t="s">
        <v>20</v>
      </c>
      <c r="C8" s="29" t="s">
        <v>42</v>
      </c>
      <c r="D8" s="3" t="s">
        <v>31</v>
      </c>
      <c r="E8" s="3" t="s">
        <v>23</v>
      </c>
      <c r="F8" s="12">
        <v>4590</v>
      </c>
      <c r="G8" s="12">
        <v>713</v>
      </c>
      <c r="H8" s="12">
        <v>479</v>
      </c>
      <c r="I8" s="12">
        <v>2730</v>
      </c>
      <c r="J8" s="13">
        <v>41050</v>
      </c>
      <c r="K8" s="12">
        <v>204246</v>
      </c>
      <c r="L8" s="3" t="s">
        <v>28</v>
      </c>
      <c r="M8" s="30">
        <f>(F8 + G8 + H8 ) / K8</f>
        <v>2.8308999931455206E-2</v>
      </c>
    </row>
    <row r="9" spans="1:21" ht="14.25" customHeight="1">
      <c r="A9" s="3" t="s">
        <v>43</v>
      </c>
      <c r="B9" s="3" t="s">
        <v>44</v>
      </c>
      <c r="C9" s="29" t="s">
        <v>45</v>
      </c>
      <c r="D9" s="3" t="s">
        <v>31</v>
      </c>
      <c r="E9" s="3" t="s">
        <v>46</v>
      </c>
      <c r="F9" s="12">
        <v>3906</v>
      </c>
      <c r="G9" s="12">
        <v>1187</v>
      </c>
      <c r="H9" s="12">
        <v>589</v>
      </c>
      <c r="I9" s="12">
        <v>401</v>
      </c>
      <c r="J9" s="13">
        <v>52687</v>
      </c>
      <c r="K9" s="12">
        <v>196498</v>
      </c>
      <c r="L9" s="3" t="s">
        <v>33</v>
      </c>
      <c r="M9" s="30">
        <f>(F9 + G9 + H9 ) / K9</f>
        <v>2.8916324848090057E-2</v>
      </c>
    </row>
    <row r="10" spans="1:21" ht="14.25" customHeight="1">
      <c r="A10" s="3" t="s">
        <v>47</v>
      </c>
      <c r="B10" s="3" t="s">
        <v>20</v>
      </c>
      <c r="C10" s="29" t="s">
        <v>48</v>
      </c>
      <c r="D10" s="3" t="s">
        <v>35</v>
      </c>
      <c r="E10" s="3" t="s">
        <v>17</v>
      </c>
      <c r="F10" s="12">
        <v>4125</v>
      </c>
      <c r="G10" s="12">
        <v>1364</v>
      </c>
      <c r="H10" s="12">
        <v>319</v>
      </c>
      <c r="I10" s="12">
        <v>2848</v>
      </c>
      <c r="J10" s="13">
        <v>15379</v>
      </c>
      <c r="K10" s="12">
        <v>188159</v>
      </c>
      <c r="L10" s="3" t="s">
        <v>18</v>
      </c>
      <c r="M10" s="30">
        <f>(F10 + G10 + H10 ) / K10</f>
        <v>3.0867510988047343E-2</v>
      </c>
    </row>
    <row r="11" spans="1:21" ht="14.25" customHeight="1">
      <c r="A11" s="3" t="s">
        <v>49</v>
      </c>
      <c r="B11" s="3" t="s">
        <v>44</v>
      </c>
      <c r="C11" s="29" t="s">
        <v>50</v>
      </c>
      <c r="D11" s="3" t="s">
        <v>31</v>
      </c>
      <c r="E11" s="3" t="s">
        <v>51</v>
      </c>
      <c r="F11" s="12">
        <v>6324</v>
      </c>
      <c r="G11" s="12">
        <v>908</v>
      </c>
      <c r="H11" s="12">
        <v>375</v>
      </c>
      <c r="I11" s="12">
        <v>758</v>
      </c>
      <c r="J11" s="13">
        <v>34850</v>
      </c>
      <c r="K11" s="12">
        <v>241039</v>
      </c>
      <c r="L11" s="3" t="s">
        <v>33</v>
      </c>
      <c r="M11" s="30">
        <f>(F11 + G11 + H11 ) / K11</f>
        <v>3.1559208260903839E-2</v>
      </c>
      <c r="O11" s="8"/>
    </row>
    <row r="12" spans="1:21" ht="14.25" customHeight="1">
      <c r="A12" s="3" t="s">
        <v>52</v>
      </c>
      <c r="B12" s="3" t="s">
        <v>14</v>
      </c>
      <c r="C12" s="29" t="s">
        <v>53</v>
      </c>
      <c r="D12" s="3" t="s">
        <v>31</v>
      </c>
      <c r="E12" s="3" t="s">
        <v>27</v>
      </c>
      <c r="F12" s="12">
        <v>6208</v>
      </c>
      <c r="G12" s="12">
        <v>725</v>
      </c>
      <c r="H12" s="12">
        <v>309</v>
      </c>
      <c r="I12" s="12">
        <v>848</v>
      </c>
      <c r="J12" s="13">
        <v>39319</v>
      </c>
      <c r="K12" s="12">
        <v>225763</v>
      </c>
      <c r="L12" s="3" t="s">
        <v>33</v>
      </c>
      <c r="M12" s="30">
        <f>(F12 + G12 + H12 ) / K12</f>
        <v>3.207788698768177E-2</v>
      </c>
    </row>
    <row r="13" spans="1:21" ht="14.25" customHeight="1">
      <c r="A13" s="3" t="s">
        <v>54</v>
      </c>
      <c r="B13" s="3" t="s">
        <v>20</v>
      </c>
      <c r="C13" s="29" t="s">
        <v>55</v>
      </c>
      <c r="D13" s="3" t="s">
        <v>16</v>
      </c>
      <c r="E13" s="3" t="s">
        <v>32</v>
      </c>
      <c r="F13" s="12">
        <v>4219</v>
      </c>
      <c r="G13" s="12">
        <v>240</v>
      </c>
      <c r="H13" s="12">
        <v>670</v>
      </c>
      <c r="I13" s="12">
        <v>815</v>
      </c>
      <c r="J13" s="13">
        <v>11978</v>
      </c>
      <c r="K13" s="12">
        <v>159735</v>
      </c>
      <c r="L13" s="3" t="s">
        <v>24</v>
      </c>
      <c r="M13" s="30">
        <f>(F13 + G13 + H13 ) / K13</f>
        <v>3.2109431245500357E-2</v>
      </c>
    </row>
    <row r="14" spans="1:21" ht="14.25" customHeight="1">
      <c r="A14" s="3" t="s">
        <v>56</v>
      </c>
      <c r="B14" s="3" t="s">
        <v>20</v>
      </c>
      <c r="C14" s="29" t="s">
        <v>57</v>
      </c>
      <c r="D14" s="3" t="s">
        <v>22</v>
      </c>
      <c r="E14" s="3" t="s">
        <v>46</v>
      </c>
      <c r="F14" s="12">
        <v>6164</v>
      </c>
      <c r="G14" s="12">
        <v>326</v>
      </c>
      <c r="H14" s="12">
        <v>615</v>
      </c>
      <c r="I14" s="12">
        <v>2806</v>
      </c>
      <c r="J14" s="13">
        <v>38579</v>
      </c>
      <c r="K14" s="12">
        <v>206129</v>
      </c>
      <c r="L14" s="3" t="s">
        <v>18</v>
      </c>
      <c r="M14" s="30">
        <f>(F14 + G14 + H14 ) / K14</f>
        <v>3.4468706489625425E-2</v>
      </c>
    </row>
    <row r="15" spans="1:21" ht="14.25" customHeight="1">
      <c r="A15" s="3" t="s">
        <v>58</v>
      </c>
      <c r="B15" s="3" t="s">
        <v>44</v>
      </c>
      <c r="C15" s="29">
        <v>45942</v>
      </c>
      <c r="D15" s="3" t="s">
        <v>16</v>
      </c>
      <c r="E15" s="3" t="s">
        <v>46</v>
      </c>
      <c r="F15" s="12">
        <v>7126</v>
      </c>
      <c r="G15" s="12">
        <v>484</v>
      </c>
      <c r="H15" s="12">
        <v>565</v>
      </c>
      <c r="I15" s="12">
        <v>573</v>
      </c>
      <c r="J15" s="13">
        <v>7389</v>
      </c>
      <c r="K15" s="12">
        <v>237096</v>
      </c>
      <c r="L15" s="3" t="s">
        <v>37</v>
      </c>
      <c r="M15" s="30">
        <f>(F15 + G15 + H15 ) / K15</f>
        <v>3.4479704423524646E-2</v>
      </c>
    </row>
    <row r="16" spans="1:21" ht="14.25" customHeight="1">
      <c r="A16" s="3" t="s">
        <v>59</v>
      </c>
      <c r="B16" s="3" t="s">
        <v>20</v>
      </c>
      <c r="C16" s="29">
        <v>45940</v>
      </c>
      <c r="D16" s="3" t="s">
        <v>16</v>
      </c>
      <c r="E16" s="3" t="s">
        <v>60</v>
      </c>
      <c r="F16" s="12">
        <v>6621</v>
      </c>
      <c r="G16" s="12">
        <v>922</v>
      </c>
      <c r="H16" s="12">
        <v>930</v>
      </c>
      <c r="I16" s="12">
        <v>694</v>
      </c>
      <c r="J16" s="13">
        <v>839</v>
      </c>
      <c r="K16" s="12">
        <v>243532</v>
      </c>
      <c r="L16" s="3" t="s">
        <v>37</v>
      </c>
      <c r="M16" s="30">
        <f>(F16 + G16 + H16 ) / K16</f>
        <v>3.479214230573395E-2</v>
      </c>
    </row>
    <row r="17" spans="1:13" ht="14.25" customHeight="1">
      <c r="A17" s="3" t="s">
        <v>61</v>
      </c>
      <c r="B17" s="3" t="s">
        <v>62</v>
      </c>
      <c r="C17" s="29">
        <v>45918</v>
      </c>
      <c r="D17" s="3" t="s">
        <v>22</v>
      </c>
      <c r="E17" s="3" t="s">
        <v>32</v>
      </c>
      <c r="F17" s="12">
        <v>3828</v>
      </c>
      <c r="G17" s="12">
        <v>203</v>
      </c>
      <c r="H17" s="12">
        <v>506</v>
      </c>
      <c r="I17" s="12">
        <v>2440</v>
      </c>
      <c r="J17" s="13">
        <v>63650</v>
      </c>
      <c r="K17" s="12">
        <v>126365</v>
      </c>
      <c r="L17" s="3" t="s">
        <v>37</v>
      </c>
      <c r="M17" s="30">
        <f>(F17 + G17 + H17 ) / K17</f>
        <v>3.5903929094290347E-2</v>
      </c>
    </row>
    <row r="18" spans="1:13" ht="14.25" customHeight="1">
      <c r="A18" s="3" t="s">
        <v>63</v>
      </c>
      <c r="B18" s="3" t="s">
        <v>14</v>
      </c>
      <c r="C18" s="29" t="s">
        <v>64</v>
      </c>
      <c r="D18" s="3" t="s">
        <v>22</v>
      </c>
      <c r="E18" s="3" t="s">
        <v>17</v>
      </c>
      <c r="F18" s="12">
        <v>3917</v>
      </c>
      <c r="G18" s="12">
        <v>865</v>
      </c>
      <c r="H18" s="12">
        <v>759</v>
      </c>
      <c r="I18" s="12">
        <v>2282</v>
      </c>
      <c r="J18" s="13">
        <v>56125</v>
      </c>
      <c r="K18" s="12">
        <v>154014</v>
      </c>
      <c r="L18" s="3" t="s">
        <v>33</v>
      </c>
      <c r="M18" s="30">
        <f>(F18 + G18 + H18 ) / K18</f>
        <v>3.5977248821535704E-2</v>
      </c>
    </row>
    <row r="19" spans="1:13" ht="14.25" customHeight="1">
      <c r="A19" s="3" t="s">
        <v>65</v>
      </c>
      <c r="B19" s="3" t="s">
        <v>62</v>
      </c>
      <c r="C19" s="29">
        <v>45916</v>
      </c>
      <c r="D19" s="3" t="s">
        <v>35</v>
      </c>
      <c r="E19" s="3" t="s">
        <v>51</v>
      </c>
      <c r="F19" s="12">
        <v>6809</v>
      </c>
      <c r="G19" s="12">
        <v>397</v>
      </c>
      <c r="H19" s="12">
        <v>813</v>
      </c>
      <c r="I19" s="12">
        <v>1125</v>
      </c>
      <c r="J19" s="13">
        <v>12206</v>
      </c>
      <c r="K19" s="12">
        <v>218136</v>
      </c>
      <c r="L19" s="3" t="s">
        <v>37</v>
      </c>
      <c r="M19" s="30">
        <f>(F19 + G19 + H19 ) / K19</f>
        <v>3.6761469908680823E-2</v>
      </c>
    </row>
    <row r="20" spans="1:13" ht="14.25" customHeight="1">
      <c r="A20" s="3" t="s">
        <v>66</v>
      </c>
      <c r="B20" s="3" t="s">
        <v>14</v>
      </c>
      <c r="C20" s="29">
        <v>45933</v>
      </c>
      <c r="D20" s="3" t="s">
        <v>31</v>
      </c>
      <c r="E20" s="3" t="s">
        <v>67</v>
      </c>
      <c r="F20" s="12">
        <v>6777</v>
      </c>
      <c r="G20" s="12">
        <v>617</v>
      </c>
      <c r="H20" s="12">
        <v>551</v>
      </c>
      <c r="I20" s="12">
        <v>2109</v>
      </c>
      <c r="J20" s="13">
        <v>18559</v>
      </c>
      <c r="K20" s="12">
        <v>208452</v>
      </c>
      <c r="L20" s="3" t="s">
        <v>37</v>
      </c>
      <c r="M20" s="30">
        <f>(F20 + G20 + H20 ) / K20</f>
        <v>3.8114290100358834E-2</v>
      </c>
    </row>
    <row r="21" spans="1:13" ht="14.25" customHeight="1">
      <c r="A21" s="3" t="s">
        <v>68</v>
      </c>
      <c r="B21" s="3" t="s">
        <v>44</v>
      </c>
      <c r="C21" s="29" t="s">
        <v>69</v>
      </c>
      <c r="D21" s="3" t="s">
        <v>35</v>
      </c>
      <c r="E21" s="3" t="s">
        <v>46</v>
      </c>
      <c r="F21" s="12">
        <v>4048</v>
      </c>
      <c r="G21" s="12">
        <v>751</v>
      </c>
      <c r="H21" s="12">
        <v>930</v>
      </c>
      <c r="I21" s="12">
        <v>1382</v>
      </c>
      <c r="J21" s="13">
        <v>16844</v>
      </c>
      <c r="K21" s="12">
        <v>148177</v>
      </c>
      <c r="L21" s="3" t="s">
        <v>24</v>
      </c>
      <c r="M21" s="30">
        <f>(F21 + G21 + H21 ) / K21</f>
        <v>3.8663220337839206E-2</v>
      </c>
    </row>
    <row r="22" spans="1:13" ht="14.25" customHeight="1">
      <c r="A22" s="3" t="s">
        <v>70</v>
      </c>
      <c r="B22" s="3" t="s">
        <v>20</v>
      </c>
      <c r="C22" s="29">
        <v>45906</v>
      </c>
      <c r="D22" s="3" t="s">
        <v>35</v>
      </c>
      <c r="E22" s="3" t="s">
        <v>46</v>
      </c>
      <c r="F22" s="12">
        <v>7124</v>
      </c>
      <c r="G22" s="12">
        <v>469</v>
      </c>
      <c r="H22" s="12">
        <v>851</v>
      </c>
      <c r="I22" s="12">
        <v>2571</v>
      </c>
      <c r="J22" s="13">
        <v>23275</v>
      </c>
      <c r="K22" s="12">
        <v>216313</v>
      </c>
      <c r="L22" s="3" t="s">
        <v>37</v>
      </c>
      <c r="M22" s="30">
        <f>(F22 + G22 + H22 ) / K22</f>
        <v>3.9036026498638549E-2</v>
      </c>
    </row>
    <row r="23" spans="1:13" ht="14.25" customHeight="1">
      <c r="A23" s="3" t="s">
        <v>71</v>
      </c>
      <c r="B23" s="3" t="s">
        <v>20</v>
      </c>
      <c r="C23" s="29">
        <v>45922</v>
      </c>
      <c r="D23" s="3" t="s">
        <v>22</v>
      </c>
      <c r="E23" s="3" t="s">
        <v>27</v>
      </c>
      <c r="F23" s="12">
        <v>8996</v>
      </c>
      <c r="G23" s="12">
        <v>329</v>
      </c>
      <c r="H23" s="12">
        <v>378</v>
      </c>
      <c r="I23" s="12">
        <v>2384</v>
      </c>
      <c r="J23" s="13">
        <v>39404</v>
      </c>
      <c r="K23" s="12">
        <v>242724</v>
      </c>
      <c r="L23" s="3" t="s">
        <v>37</v>
      </c>
      <c r="M23" s="30">
        <f>(F23 + G23 + H23 ) / K23</f>
        <v>3.9975445361810122E-2</v>
      </c>
    </row>
    <row r="24" spans="1:13" ht="14.25" customHeight="1">
      <c r="A24" s="3" t="s">
        <v>72</v>
      </c>
      <c r="B24" s="3" t="s">
        <v>20</v>
      </c>
      <c r="C24" s="29" t="s">
        <v>73</v>
      </c>
      <c r="D24" s="3" t="s">
        <v>22</v>
      </c>
      <c r="E24" s="3" t="s">
        <v>60</v>
      </c>
      <c r="F24" s="12">
        <v>7122</v>
      </c>
      <c r="G24" s="12">
        <v>628</v>
      </c>
      <c r="H24" s="12">
        <v>757</v>
      </c>
      <c r="I24" s="12">
        <v>2313</v>
      </c>
      <c r="J24" s="13">
        <v>50924</v>
      </c>
      <c r="K24" s="12">
        <v>210954</v>
      </c>
      <c r="L24" s="3" t="s">
        <v>18</v>
      </c>
      <c r="M24" s="30">
        <f>(F24 + G24 + H24 ) / K24</f>
        <v>4.0326327066564277E-2</v>
      </c>
    </row>
    <row r="25" spans="1:13" ht="14.25" customHeight="1">
      <c r="A25" s="3" t="s">
        <v>74</v>
      </c>
      <c r="B25" s="3" t="s">
        <v>20</v>
      </c>
      <c r="C25" s="29">
        <v>45917</v>
      </c>
      <c r="D25" s="3" t="s">
        <v>16</v>
      </c>
      <c r="E25" s="3" t="s">
        <v>32</v>
      </c>
      <c r="F25" s="12">
        <v>2117</v>
      </c>
      <c r="G25" s="12">
        <v>1133</v>
      </c>
      <c r="H25" s="12">
        <v>203</v>
      </c>
      <c r="I25" s="12">
        <v>1173</v>
      </c>
      <c r="J25" s="13">
        <v>40125</v>
      </c>
      <c r="K25" s="12">
        <v>85379</v>
      </c>
      <c r="L25" s="3" t="s">
        <v>37</v>
      </c>
      <c r="M25" s="30">
        <f>(F25 + G25 + H25 ) / K25</f>
        <v>4.0443200318579509E-2</v>
      </c>
    </row>
    <row r="26" spans="1:13" ht="14.25" customHeight="1">
      <c r="A26" s="3" t="s">
        <v>75</v>
      </c>
      <c r="B26" s="3" t="s">
        <v>44</v>
      </c>
      <c r="C26" s="29" t="s">
        <v>76</v>
      </c>
      <c r="D26" s="3" t="s">
        <v>31</v>
      </c>
      <c r="E26" s="3" t="s">
        <v>17</v>
      </c>
      <c r="F26" s="12">
        <v>6632</v>
      </c>
      <c r="G26" s="12">
        <v>254</v>
      </c>
      <c r="H26" s="12">
        <v>525</v>
      </c>
      <c r="I26" s="12">
        <v>1013</v>
      </c>
      <c r="J26" s="13">
        <v>13838</v>
      </c>
      <c r="K26" s="12">
        <v>180180</v>
      </c>
      <c r="L26" s="3" t="s">
        <v>33</v>
      </c>
      <c r="M26" s="30">
        <f>(F26 + G26 + H26 ) / K26</f>
        <v>4.1131091131091133E-2</v>
      </c>
    </row>
    <row r="27" spans="1:13" ht="14.25" customHeight="1">
      <c r="A27" s="3" t="s">
        <v>77</v>
      </c>
      <c r="B27" s="3" t="s">
        <v>14</v>
      </c>
      <c r="C27" s="29" t="s">
        <v>78</v>
      </c>
      <c r="D27" s="3" t="s">
        <v>22</v>
      </c>
      <c r="E27" s="3" t="s">
        <v>32</v>
      </c>
      <c r="F27" s="12">
        <v>8283</v>
      </c>
      <c r="G27" s="12">
        <v>720</v>
      </c>
      <c r="H27" s="12">
        <v>888</v>
      </c>
      <c r="I27" s="12">
        <v>611</v>
      </c>
      <c r="J27" s="13">
        <v>52791</v>
      </c>
      <c r="K27" s="12">
        <v>235229</v>
      </c>
      <c r="L27" s="3" t="s">
        <v>33</v>
      </c>
      <c r="M27" s="30">
        <f>(F27 + G27 + H27 ) / K27</f>
        <v>4.2048386891072105E-2</v>
      </c>
    </row>
    <row r="28" spans="1:13" ht="14.25" customHeight="1">
      <c r="A28" s="3" t="s">
        <v>79</v>
      </c>
      <c r="B28" s="3" t="s">
        <v>14</v>
      </c>
      <c r="C28" s="29" t="s">
        <v>80</v>
      </c>
      <c r="D28" s="3" t="s">
        <v>16</v>
      </c>
      <c r="E28" s="3" t="s">
        <v>51</v>
      </c>
      <c r="F28" s="12">
        <v>8288</v>
      </c>
      <c r="G28" s="12">
        <v>1401</v>
      </c>
      <c r="H28" s="12">
        <v>819</v>
      </c>
      <c r="I28" s="12">
        <v>1235</v>
      </c>
      <c r="J28" s="13">
        <v>33446</v>
      </c>
      <c r="K28" s="12">
        <v>248786</v>
      </c>
      <c r="L28" s="3" t="s">
        <v>33</v>
      </c>
      <c r="M28" s="30">
        <f>(F28 + G28 + H28 ) / K28</f>
        <v>4.2237103373984064E-2</v>
      </c>
    </row>
    <row r="29" spans="1:13" ht="14.25" customHeight="1">
      <c r="A29" s="3" t="s">
        <v>81</v>
      </c>
      <c r="B29" s="3" t="s">
        <v>44</v>
      </c>
      <c r="C29" s="29" t="s">
        <v>82</v>
      </c>
      <c r="D29" s="3" t="s">
        <v>16</v>
      </c>
      <c r="E29" s="3" t="s">
        <v>60</v>
      </c>
      <c r="F29" s="12">
        <v>5900</v>
      </c>
      <c r="G29" s="12">
        <v>546</v>
      </c>
      <c r="H29" s="12">
        <v>592</v>
      </c>
      <c r="I29" s="12">
        <v>1594</v>
      </c>
      <c r="J29" s="13">
        <v>38627</v>
      </c>
      <c r="K29" s="12">
        <v>164398</v>
      </c>
      <c r="L29" s="3" t="s">
        <v>18</v>
      </c>
      <c r="M29" s="30">
        <f>(F29 + G29 + H29 ) / K29</f>
        <v>4.2810739790021778E-2</v>
      </c>
    </row>
    <row r="30" spans="1:13" ht="14.25" customHeight="1">
      <c r="A30" s="3" t="s">
        <v>83</v>
      </c>
      <c r="B30" s="3" t="s">
        <v>62</v>
      </c>
      <c r="C30" s="29" t="s">
        <v>84</v>
      </c>
      <c r="D30" s="3" t="s">
        <v>35</v>
      </c>
      <c r="E30" s="3" t="s">
        <v>67</v>
      </c>
      <c r="F30" s="12">
        <v>6858</v>
      </c>
      <c r="G30" s="12">
        <v>415</v>
      </c>
      <c r="H30" s="12">
        <v>366</v>
      </c>
      <c r="I30" s="12">
        <v>2761</v>
      </c>
      <c r="J30" s="13">
        <v>2988</v>
      </c>
      <c r="K30" s="12">
        <v>177348</v>
      </c>
      <c r="L30" s="3" t="s">
        <v>33</v>
      </c>
      <c r="M30" s="30">
        <f>(F30 + G30 + H30 ) / K30</f>
        <v>4.3073505198818141E-2</v>
      </c>
    </row>
    <row r="31" spans="1:13" ht="14.25" customHeight="1">
      <c r="A31" s="3" t="s">
        <v>85</v>
      </c>
      <c r="B31" s="3" t="s">
        <v>44</v>
      </c>
      <c r="C31" s="29" t="s">
        <v>86</v>
      </c>
      <c r="D31" s="3" t="s">
        <v>35</v>
      </c>
      <c r="E31" s="3" t="s">
        <v>36</v>
      </c>
      <c r="F31" s="12">
        <v>7989</v>
      </c>
      <c r="G31" s="12">
        <v>1206</v>
      </c>
      <c r="H31" s="12">
        <v>376</v>
      </c>
      <c r="I31" s="12">
        <v>2769</v>
      </c>
      <c r="J31" s="13">
        <v>27550</v>
      </c>
      <c r="K31" s="12">
        <v>221749</v>
      </c>
      <c r="L31" s="3" t="s">
        <v>28</v>
      </c>
      <c r="M31" s="30">
        <f>(F31 + G31 + H31 ) / K31</f>
        <v>4.3161412227338117E-2</v>
      </c>
    </row>
    <row r="32" spans="1:13" ht="14.25" customHeight="1">
      <c r="A32" s="3" t="s">
        <v>87</v>
      </c>
      <c r="B32" s="3" t="s">
        <v>44</v>
      </c>
      <c r="C32" s="29">
        <v>45931</v>
      </c>
      <c r="D32" s="3" t="s">
        <v>16</v>
      </c>
      <c r="E32" s="3" t="s">
        <v>88</v>
      </c>
      <c r="F32" s="12">
        <v>6188</v>
      </c>
      <c r="G32" s="12">
        <v>774</v>
      </c>
      <c r="H32" s="12">
        <v>647</v>
      </c>
      <c r="I32" s="12">
        <v>1830</v>
      </c>
      <c r="J32" s="13">
        <v>55436</v>
      </c>
      <c r="K32" s="12">
        <v>175542</v>
      </c>
      <c r="L32" s="3" t="s">
        <v>37</v>
      </c>
      <c r="M32" s="30">
        <f>(F32 + G32 + H32 ) / K32</f>
        <v>4.3345752013763089E-2</v>
      </c>
    </row>
    <row r="33" spans="1:13" ht="14.25" customHeight="1">
      <c r="A33" s="3" t="s">
        <v>89</v>
      </c>
      <c r="B33" s="3" t="s">
        <v>62</v>
      </c>
      <c r="C33" s="29" t="s">
        <v>90</v>
      </c>
      <c r="D33" s="3" t="s">
        <v>31</v>
      </c>
      <c r="E33" s="3" t="s">
        <v>17</v>
      </c>
      <c r="F33" s="12">
        <v>8941</v>
      </c>
      <c r="G33" s="12">
        <v>911</v>
      </c>
      <c r="H33" s="12">
        <v>166</v>
      </c>
      <c r="I33" s="12">
        <v>1217</v>
      </c>
      <c r="J33" s="13">
        <v>68817</v>
      </c>
      <c r="K33" s="12">
        <v>221180</v>
      </c>
      <c r="L33" s="3" t="s">
        <v>18</v>
      </c>
      <c r="M33" s="30">
        <f>(F33 + G33 + H33 ) / K33</f>
        <v>4.5293426168731353E-2</v>
      </c>
    </row>
    <row r="34" spans="1:13" ht="14.25" customHeight="1">
      <c r="A34" s="3" t="s">
        <v>91</v>
      </c>
      <c r="B34" s="3" t="s">
        <v>20</v>
      </c>
      <c r="C34" s="29">
        <v>45924</v>
      </c>
      <c r="D34" s="3" t="s">
        <v>35</v>
      </c>
      <c r="E34" s="3" t="s">
        <v>67</v>
      </c>
      <c r="F34" s="12">
        <v>3342</v>
      </c>
      <c r="G34" s="12">
        <v>787</v>
      </c>
      <c r="H34" s="12">
        <v>375</v>
      </c>
      <c r="I34" s="12">
        <v>907</v>
      </c>
      <c r="J34" s="13">
        <v>85823</v>
      </c>
      <c r="K34" s="12">
        <v>99189</v>
      </c>
      <c r="L34" s="3" t="s">
        <v>37</v>
      </c>
      <c r="M34" s="30">
        <f>(F34 + G34 + H34 ) / K34</f>
        <v>4.5408260996683103E-2</v>
      </c>
    </row>
    <row r="35" spans="1:13" ht="14.25" customHeight="1">
      <c r="A35" s="3" t="s">
        <v>92</v>
      </c>
      <c r="B35" s="3" t="s">
        <v>62</v>
      </c>
      <c r="C35" s="29" t="s">
        <v>93</v>
      </c>
      <c r="D35" s="3" t="s">
        <v>16</v>
      </c>
      <c r="E35" s="3" t="s">
        <v>46</v>
      </c>
      <c r="F35" s="12">
        <v>8988</v>
      </c>
      <c r="G35" s="12">
        <v>228</v>
      </c>
      <c r="H35" s="12">
        <v>766</v>
      </c>
      <c r="I35" s="12">
        <v>652</v>
      </c>
      <c r="J35" s="13">
        <v>63789</v>
      </c>
      <c r="K35" s="12">
        <v>219785</v>
      </c>
      <c r="L35" s="3" t="s">
        <v>28</v>
      </c>
      <c r="M35" s="30">
        <f>(F35 + G35 + H35 ) / K35</f>
        <v>4.541711217781013E-2</v>
      </c>
    </row>
    <row r="36" spans="1:13" ht="14.25" customHeight="1">
      <c r="A36" s="3" t="s">
        <v>94</v>
      </c>
      <c r="B36" s="3" t="s">
        <v>14</v>
      </c>
      <c r="C36" s="29" t="s">
        <v>21</v>
      </c>
      <c r="D36" s="3" t="s">
        <v>16</v>
      </c>
      <c r="E36" s="3" t="s">
        <v>36</v>
      </c>
      <c r="F36" s="12">
        <v>8376</v>
      </c>
      <c r="G36" s="12">
        <v>1154</v>
      </c>
      <c r="H36" s="12">
        <v>422</v>
      </c>
      <c r="I36" s="12">
        <v>1907</v>
      </c>
      <c r="J36" s="13">
        <v>36874</v>
      </c>
      <c r="K36" s="12">
        <v>218486</v>
      </c>
      <c r="L36" s="3" t="s">
        <v>28</v>
      </c>
      <c r="M36" s="30">
        <f>(F36 + G36 + H36 ) / K36</f>
        <v>4.5549829279679245E-2</v>
      </c>
    </row>
    <row r="37" spans="1:13" ht="14.25" customHeight="1">
      <c r="A37" s="3" t="s">
        <v>95</v>
      </c>
      <c r="B37" s="3" t="s">
        <v>44</v>
      </c>
      <c r="C37" s="29" t="s">
        <v>96</v>
      </c>
      <c r="D37" s="3" t="s">
        <v>16</v>
      </c>
      <c r="E37" s="3" t="s">
        <v>60</v>
      </c>
      <c r="F37" s="12">
        <v>5419</v>
      </c>
      <c r="G37" s="12">
        <v>1150</v>
      </c>
      <c r="H37" s="12">
        <v>656</v>
      </c>
      <c r="I37" s="12">
        <v>1990</v>
      </c>
      <c r="J37" s="13">
        <v>410</v>
      </c>
      <c r="K37" s="12">
        <v>158154</v>
      </c>
      <c r="L37" s="3" t="s">
        <v>28</v>
      </c>
      <c r="M37" s="30">
        <f>(F37 + G37 + H37 ) / K37</f>
        <v>4.5683321319726342E-2</v>
      </c>
    </row>
    <row r="38" spans="1:13" ht="14.25" customHeight="1">
      <c r="A38" s="3" t="s">
        <v>97</v>
      </c>
      <c r="B38" s="3" t="s">
        <v>44</v>
      </c>
      <c r="C38" s="29" t="s">
        <v>98</v>
      </c>
      <c r="D38" s="3" t="s">
        <v>16</v>
      </c>
      <c r="E38" s="3" t="s">
        <v>46</v>
      </c>
      <c r="F38" s="12">
        <v>4193</v>
      </c>
      <c r="G38" s="12">
        <v>924</v>
      </c>
      <c r="H38" s="12">
        <v>707</v>
      </c>
      <c r="I38" s="12">
        <v>2696</v>
      </c>
      <c r="J38" s="13">
        <v>23275</v>
      </c>
      <c r="K38" s="12">
        <v>126652</v>
      </c>
      <c r="L38" s="3" t="s">
        <v>24</v>
      </c>
      <c r="M38" s="30">
        <f>(F38 + G38 + H38 ) / K38</f>
        <v>4.5984271863057827E-2</v>
      </c>
    </row>
    <row r="39" spans="1:13" ht="14.25" customHeight="1">
      <c r="A39" s="3" t="s">
        <v>99</v>
      </c>
      <c r="B39" s="3" t="s">
        <v>14</v>
      </c>
      <c r="C39" s="29" t="s">
        <v>100</v>
      </c>
      <c r="D39" s="3" t="s">
        <v>16</v>
      </c>
      <c r="E39" s="3" t="s">
        <v>36</v>
      </c>
      <c r="F39" s="12">
        <v>10472</v>
      </c>
      <c r="G39" s="12">
        <v>401</v>
      </c>
      <c r="H39" s="12">
        <v>668</v>
      </c>
      <c r="I39" s="12">
        <v>383</v>
      </c>
      <c r="J39" s="13">
        <v>37571</v>
      </c>
      <c r="K39" s="12">
        <v>249203</v>
      </c>
      <c r="L39" s="3" t="s">
        <v>28</v>
      </c>
      <c r="M39" s="30">
        <f>(F39 + G39 + H39 ) / K39</f>
        <v>4.6311641513143903E-2</v>
      </c>
    </row>
    <row r="40" spans="1:13" ht="14.25" customHeight="1">
      <c r="A40" s="3" t="s">
        <v>101</v>
      </c>
      <c r="B40" s="3" t="s">
        <v>20</v>
      </c>
      <c r="C40" s="29" t="s">
        <v>102</v>
      </c>
      <c r="D40" s="3" t="s">
        <v>35</v>
      </c>
      <c r="E40" s="3" t="s">
        <v>103</v>
      </c>
      <c r="F40" s="12">
        <v>6363</v>
      </c>
      <c r="G40" s="12">
        <v>1341</v>
      </c>
      <c r="H40" s="12">
        <v>222</v>
      </c>
      <c r="I40" s="12">
        <v>2712</v>
      </c>
      <c r="J40" s="13">
        <v>19987</v>
      </c>
      <c r="K40" s="12">
        <v>160585</v>
      </c>
      <c r="L40" s="3" t="s">
        <v>28</v>
      </c>
      <c r="M40" s="30">
        <f>(F40 + G40 + H40 ) / K40</f>
        <v>4.9357038328611019E-2</v>
      </c>
    </row>
    <row r="41" spans="1:13" ht="14.25" customHeight="1">
      <c r="A41" s="3" t="s">
        <v>104</v>
      </c>
      <c r="B41" s="3" t="s">
        <v>14</v>
      </c>
      <c r="C41" s="29" t="s">
        <v>105</v>
      </c>
      <c r="D41" s="3" t="s">
        <v>31</v>
      </c>
      <c r="E41" s="3" t="s">
        <v>103</v>
      </c>
      <c r="F41" s="12">
        <v>10717</v>
      </c>
      <c r="G41" s="12">
        <v>760</v>
      </c>
      <c r="H41" s="12">
        <v>460</v>
      </c>
      <c r="I41" s="12">
        <v>1316</v>
      </c>
      <c r="J41" s="13">
        <v>18164</v>
      </c>
      <c r="K41" s="12">
        <v>240641</v>
      </c>
      <c r="L41" s="3" t="s">
        <v>18</v>
      </c>
      <c r="M41" s="30">
        <f>(F41 + G41 + H41 ) / K41</f>
        <v>4.9605013277039242E-2</v>
      </c>
    </row>
    <row r="42" spans="1:13" ht="14.25" customHeight="1">
      <c r="A42" s="3" t="s">
        <v>106</v>
      </c>
      <c r="B42" s="3" t="s">
        <v>14</v>
      </c>
      <c r="C42" s="29" t="s">
        <v>107</v>
      </c>
      <c r="D42" s="3" t="s">
        <v>16</v>
      </c>
      <c r="E42" s="3" t="s">
        <v>32</v>
      </c>
      <c r="F42" s="12">
        <v>9943</v>
      </c>
      <c r="G42" s="12">
        <v>1274</v>
      </c>
      <c r="H42" s="12">
        <v>336</v>
      </c>
      <c r="I42" s="12">
        <v>389</v>
      </c>
      <c r="J42" s="13">
        <v>6145</v>
      </c>
      <c r="K42" s="12">
        <v>231305</v>
      </c>
      <c r="L42" s="3" t="s">
        <v>33</v>
      </c>
      <c r="M42" s="30">
        <f>(F42 + G42 + H42 ) / K42</f>
        <v>4.9947039623008581E-2</v>
      </c>
    </row>
    <row r="43" spans="1:13" ht="14.25" customHeight="1">
      <c r="A43" s="3" t="s">
        <v>108</v>
      </c>
      <c r="B43" s="3" t="s">
        <v>44</v>
      </c>
      <c r="C43" s="29" t="s">
        <v>109</v>
      </c>
      <c r="D43" s="3" t="s">
        <v>16</v>
      </c>
      <c r="E43" s="3" t="s">
        <v>103</v>
      </c>
      <c r="F43" s="12">
        <v>7560</v>
      </c>
      <c r="G43" s="12">
        <v>1139</v>
      </c>
      <c r="H43" s="12">
        <v>248</v>
      </c>
      <c r="I43" s="12">
        <v>1624</v>
      </c>
      <c r="J43" s="13">
        <v>72237</v>
      </c>
      <c r="K43" s="12">
        <v>177084</v>
      </c>
      <c r="L43" s="3" t="s">
        <v>28</v>
      </c>
      <c r="M43" s="30">
        <f>(F43 + G43 + H43 ) / K43</f>
        <v>5.0524045085947912E-2</v>
      </c>
    </row>
    <row r="44" spans="1:13" ht="14.25" customHeight="1">
      <c r="A44" s="3" t="s">
        <v>110</v>
      </c>
      <c r="B44" s="3" t="s">
        <v>20</v>
      </c>
      <c r="C44" s="29" t="s">
        <v>111</v>
      </c>
      <c r="D44" s="3" t="s">
        <v>16</v>
      </c>
      <c r="E44" s="3" t="s">
        <v>40</v>
      </c>
      <c r="F44" s="12">
        <v>3062</v>
      </c>
      <c r="G44" s="12">
        <v>1124</v>
      </c>
      <c r="H44" s="12">
        <v>538</v>
      </c>
      <c r="I44" s="12">
        <v>2935</v>
      </c>
      <c r="J44" s="13">
        <v>69749</v>
      </c>
      <c r="K44" s="12">
        <v>91924</v>
      </c>
      <c r="L44" s="3" t="s">
        <v>24</v>
      </c>
      <c r="M44" s="30">
        <f>(F44 + G44 + H44 ) / K44</f>
        <v>5.1390278926069365E-2</v>
      </c>
    </row>
    <row r="45" spans="1:13" ht="14.25" customHeight="1">
      <c r="A45" s="3" t="s">
        <v>112</v>
      </c>
      <c r="B45" s="3" t="s">
        <v>44</v>
      </c>
      <c r="C45" s="29">
        <v>45715</v>
      </c>
      <c r="D45" s="3" t="s">
        <v>31</v>
      </c>
      <c r="E45" s="3" t="s">
        <v>32</v>
      </c>
      <c r="F45" s="12">
        <v>8970</v>
      </c>
      <c r="G45" s="12">
        <v>331</v>
      </c>
      <c r="H45" s="12">
        <v>968</v>
      </c>
      <c r="I45" s="12">
        <v>2296</v>
      </c>
      <c r="J45" s="13">
        <v>24613</v>
      </c>
      <c r="K45" s="12">
        <v>198562</v>
      </c>
      <c r="L45" s="3" t="s">
        <v>24</v>
      </c>
      <c r="M45" s="30">
        <f>(F45 + G45 + H45 ) / K45</f>
        <v>5.1716844109144754E-2</v>
      </c>
    </row>
    <row r="46" spans="1:13" ht="14.25" customHeight="1">
      <c r="A46" s="3" t="s">
        <v>113</v>
      </c>
      <c r="B46" s="3" t="s">
        <v>44</v>
      </c>
      <c r="C46" s="29" t="s">
        <v>114</v>
      </c>
      <c r="D46" s="3" t="s">
        <v>31</v>
      </c>
      <c r="E46" s="3" t="s">
        <v>23</v>
      </c>
      <c r="F46" s="12">
        <v>2384</v>
      </c>
      <c r="G46" s="12">
        <v>1246</v>
      </c>
      <c r="H46" s="12">
        <v>160</v>
      </c>
      <c r="I46" s="12">
        <v>2004</v>
      </c>
      <c r="J46" s="13">
        <v>2701</v>
      </c>
      <c r="K46" s="12">
        <v>73142</v>
      </c>
      <c r="L46" s="3" t="s">
        <v>33</v>
      </c>
      <c r="M46" s="30">
        <f>(F46 + G46 + H46 ) / K46</f>
        <v>5.1817013480626728E-2</v>
      </c>
    </row>
    <row r="47" spans="1:13" ht="14.25" customHeight="1">
      <c r="A47" s="3" t="s">
        <v>115</v>
      </c>
      <c r="B47" s="3" t="s">
        <v>20</v>
      </c>
      <c r="C47" s="29" t="s">
        <v>116</v>
      </c>
      <c r="D47" s="3" t="s">
        <v>16</v>
      </c>
      <c r="E47" s="3" t="s">
        <v>36</v>
      </c>
      <c r="F47" s="12">
        <v>6804</v>
      </c>
      <c r="G47" s="12">
        <v>787</v>
      </c>
      <c r="H47" s="12">
        <v>970</v>
      </c>
      <c r="I47" s="12">
        <v>1095</v>
      </c>
      <c r="J47" s="13">
        <v>23275</v>
      </c>
      <c r="K47" s="12">
        <v>164677</v>
      </c>
      <c r="L47" s="3" t="s">
        <v>33</v>
      </c>
      <c r="M47" s="30">
        <f>(F47 + G47 + H47 ) / K47</f>
        <v>5.1986616224487935E-2</v>
      </c>
    </row>
    <row r="48" spans="1:13" ht="14.25" customHeight="1">
      <c r="A48" s="3" t="s">
        <v>117</v>
      </c>
      <c r="B48" s="3" t="s">
        <v>20</v>
      </c>
      <c r="C48" s="29" t="s">
        <v>118</v>
      </c>
      <c r="D48" s="3" t="s">
        <v>35</v>
      </c>
      <c r="E48" s="3" t="s">
        <v>51</v>
      </c>
      <c r="F48" s="12">
        <v>8469</v>
      </c>
      <c r="G48" s="12">
        <v>935</v>
      </c>
      <c r="H48" s="12">
        <v>211</v>
      </c>
      <c r="I48" s="12">
        <v>2635</v>
      </c>
      <c r="J48" s="13">
        <v>21890</v>
      </c>
      <c r="K48" s="12">
        <v>184539</v>
      </c>
      <c r="L48" s="3" t="s">
        <v>18</v>
      </c>
      <c r="M48" s="30">
        <f>(F48 + G48 + H48 ) / K48</f>
        <v>5.2102807536618279E-2</v>
      </c>
    </row>
    <row r="49" spans="1:13" ht="14.25" customHeight="1">
      <c r="A49" s="3" t="s">
        <v>119</v>
      </c>
      <c r="B49" s="3" t="s">
        <v>20</v>
      </c>
      <c r="C49" s="29" t="s">
        <v>120</v>
      </c>
      <c r="D49" s="3" t="s">
        <v>35</v>
      </c>
      <c r="E49" s="3" t="s">
        <v>36</v>
      </c>
      <c r="F49" s="12">
        <v>2009</v>
      </c>
      <c r="G49" s="12">
        <v>1072</v>
      </c>
      <c r="H49" s="12">
        <v>550</v>
      </c>
      <c r="I49" s="12">
        <v>1437</v>
      </c>
      <c r="J49" s="13">
        <v>23275</v>
      </c>
      <c r="K49" s="12">
        <v>69426</v>
      </c>
      <c r="L49" s="3" t="s">
        <v>24</v>
      </c>
      <c r="M49" s="30">
        <f>(F49 + G49 + H49 ) / K49</f>
        <v>5.2300290957278256E-2</v>
      </c>
    </row>
    <row r="50" spans="1:13" ht="14.25" customHeight="1">
      <c r="A50" s="3" t="s">
        <v>121</v>
      </c>
      <c r="B50" s="3" t="s">
        <v>14</v>
      </c>
      <c r="C50" s="29" t="s">
        <v>122</v>
      </c>
      <c r="D50" s="3" t="s">
        <v>16</v>
      </c>
      <c r="E50" s="3" t="s">
        <v>40</v>
      </c>
      <c r="F50" s="12">
        <v>10702</v>
      </c>
      <c r="G50" s="12">
        <v>621</v>
      </c>
      <c r="H50" s="12">
        <v>445</v>
      </c>
      <c r="I50" s="12">
        <v>2918</v>
      </c>
      <c r="J50" s="13">
        <v>54808</v>
      </c>
      <c r="K50" s="12">
        <v>220225</v>
      </c>
      <c r="L50" s="3" t="s">
        <v>33</v>
      </c>
      <c r="M50" s="30">
        <f>(F50 + G50 + H50 ) / K50</f>
        <v>5.3436258372119426E-2</v>
      </c>
    </row>
    <row r="51" spans="1:13" ht="14.25" customHeight="1">
      <c r="A51" s="3" t="s">
        <v>123</v>
      </c>
      <c r="B51" s="3" t="s">
        <v>62</v>
      </c>
      <c r="C51" s="29" t="s">
        <v>124</v>
      </c>
      <c r="D51" s="3" t="s">
        <v>16</v>
      </c>
      <c r="E51" s="3" t="s">
        <v>67</v>
      </c>
      <c r="F51" s="12">
        <v>11550</v>
      </c>
      <c r="G51" s="12">
        <v>501</v>
      </c>
      <c r="H51" s="12">
        <v>646</v>
      </c>
      <c r="I51" s="12">
        <v>773</v>
      </c>
      <c r="J51" s="13">
        <v>17841</v>
      </c>
      <c r="K51" s="12">
        <v>237576</v>
      </c>
      <c r="L51" s="3" t="s">
        <v>24</v>
      </c>
      <c r="M51" s="30">
        <f>(F51 + G51 + H51 ) / K51</f>
        <v>5.3443950567397383E-2</v>
      </c>
    </row>
    <row r="52" spans="1:13" ht="14.25" customHeight="1">
      <c r="A52" s="3" t="s">
        <v>125</v>
      </c>
      <c r="B52" s="3" t="s">
        <v>62</v>
      </c>
      <c r="C52" s="29" t="s">
        <v>126</v>
      </c>
      <c r="D52" s="3" t="s">
        <v>35</v>
      </c>
      <c r="E52" s="3" t="s">
        <v>60</v>
      </c>
      <c r="F52" s="12">
        <v>7750</v>
      </c>
      <c r="G52" s="12">
        <v>1146</v>
      </c>
      <c r="H52" s="12">
        <v>415</v>
      </c>
      <c r="I52" s="12">
        <v>1411</v>
      </c>
      <c r="J52" s="13">
        <v>85339</v>
      </c>
      <c r="K52" s="12">
        <v>172439</v>
      </c>
      <c r="L52" s="3" t="s">
        <v>28</v>
      </c>
      <c r="M52" s="30">
        <f>(F52 + G52 + H52 ) / K52</f>
        <v>5.3995905798572247E-2</v>
      </c>
    </row>
    <row r="53" spans="1:13" ht="14.25" customHeight="1">
      <c r="A53" s="3" t="s">
        <v>127</v>
      </c>
      <c r="B53" s="3" t="s">
        <v>14</v>
      </c>
      <c r="C53" s="29">
        <v>45929</v>
      </c>
      <c r="D53" s="3" t="s">
        <v>22</v>
      </c>
      <c r="E53" s="3" t="s">
        <v>40</v>
      </c>
      <c r="F53" s="12">
        <v>7569</v>
      </c>
      <c r="G53" s="12">
        <v>803</v>
      </c>
      <c r="H53" s="12">
        <v>804</v>
      </c>
      <c r="I53" s="12">
        <v>1753</v>
      </c>
      <c r="J53" s="13">
        <v>43582</v>
      </c>
      <c r="K53" s="12">
        <v>166945</v>
      </c>
      <c r="L53" s="3" t="s">
        <v>37</v>
      </c>
      <c r="M53" s="30">
        <f>(F53 + G53 + H53 ) / K53</f>
        <v>5.4964209769684629E-2</v>
      </c>
    </row>
    <row r="54" spans="1:13" ht="14.25" customHeight="1">
      <c r="A54" s="3" t="s">
        <v>128</v>
      </c>
      <c r="B54" s="3" t="s">
        <v>44</v>
      </c>
      <c r="C54" s="29" t="s">
        <v>129</v>
      </c>
      <c r="D54" s="3" t="s">
        <v>31</v>
      </c>
      <c r="E54" s="3" t="s">
        <v>17</v>
      </c>
      <c r="F54" s="12">
        <v>9041</v>
      </c>
      <c r="G54" s="12">
        <v>1133</v>
      </c>
      <c r="H54" s="12">
        <v>612</v>
      </c>
      <c r="I54" s="12">
        <v>1687</v>
      </c>
      <c r="J54" s="13">
        <v>28102</v>
      </c>
      <c r="K54" s="12">
        <v>195683</v>
      </c>
      <c r="L54" s="3" t="s">
        <v>24</v>
      </c>
      <c r="M54" s="30">
        <f>(F54 + G54 + H54 ) / K54</f>
        <v>5.5119760020032396E-2</v>
      </c>
    </row>
    <row r="55" spans="1:13" ht="14.25" customHeight="1">
      <c r="A55" s="3" t="s">
        <v>130</v>
      </c>
      <c r="B55" s="3" t="s">
        <v>44</v>
      </c>
      <c r="C55" s="29" t="s">
        <v>131</v>
      </c>
      <c r="D55" s="3" t="s">
        <v>22</v>
      </c>
      <c r="E55" s="3" t="s">
        <v>23</v>
      </c>
      <c r="F55" s="12">
        <v>8254</v>
      </c>
      <c r="G55" s="12">
        <v>1405</v>
      </c>
      <c r="H55" s="12">
        <v>165</v>
      </c>
      <c r="I55" s="12">
        <v>2504</v>
      </c>
      <c r="J55" s="13">
        <v>8081</v>
      </c>
      <c r="K55" s="12">
        <v>177710</v>
      </c>
      <c r="L55" s="3" t="s">
        <v>33</v>
      </c>
      <c r="M55" s="30">
        <f>(F55 + G55 + H55 ) / K55</f>
        <v>5.5281075910190762E-2</v>
      </c>
    </row>
    <row r="56" spans="1:13" ht="14.25" customHeight="1">
      <c r="A56" s="3" t="s">
        <v>132</v>
      </c>
      <c r="B56" s="3" t="s">
        <v>14</v>
      </c>
      <c r="C56" s="29" t="s">
        <v>133</v>
      </c>
      <c r="D56" s="3" t="s">
        <v>35</v>
      </c>
      <c r="E56" s="3" t="s">
        <v>46</v>
      </c>
      <c r="F56" s="12">
        <v>10580</v>
      </c>
      <c r="G56" s="12">
        <v>427</v>
      </c>
      <c r="H56" s="12">
        <v>790</v>
      </c>
      <c r="I56" s="12">
        <v>2814</v>
      </c>
      <c r="J56" s="13">
        <v>24916</v>
      </c>
      <c r="K56" s="12">
        <v>213312</v>
      </c>
      <c r="L56" s="3" t="s">
        <v>18</v>
      </c>
      <c r="M56" s="30">
        <f>(F56 + G56 + H56 ) / K56</f>
        <v>5.530396789678968E-2</v>
      </c>
    </row>
    <row r="57" spans="1:13" ht="14.25" customHeight="1">
      <c r="A57" s="3" t="s">
        <v>134</v>
      </c>
      <c r="B57" s="3" t="s">
        <v>62</v>
      </c>
      <c r="C57" s="29">
        <v>45926</v>
      </c>
      <c r="D57" s="3" t="s">
        <v>16</v>
      </c>
      <c r="E57" s="3" t="s">
        <v>88</v>
      </c>
      <c r="F57" s="12">
        <v>9043</v>
      </c>
      <c r="G57" s="12">
        <v>1192</v>
      </c>
      <c r="H57" s="12">
        <v>810</v>
      </c>
      <c r="I57" s="12">
        <v>1550</v>
      </c>
      <c r="J57" s="13">
        <v>5221</v>
      </c>
      <c r="K57" s="12">
        <v>199476</v>
      </c>
      <c r="L57" s="3" t="s">
        <v>37</v>
      </c>
      <c r="M57" s="30">
        <f>(F57 + G57 + H57 ) / K57</f>
        <v>5.5370069582305642E-2</v>
      </c>
    </row>
    <row r="58" spans="1:13" ht="14.25" customHeight="1">
      <c r="A58" s="3" t="s">
        <v>135</v>
      </c>
      <c r="B58" s="3" t="s">
        <v>20</v>
      </c>
      <c r="C58" s="29" t="s">
        <v>136</v>
      </c>
      <c r="D58" s="3" t="s">
        <v>22</v>
      </c>
      <c r="E58" s="3" t="s">
        <v>60</v>
      </c>
      <c r="F58" s="12">
        <v>6158</v>
      </c>
      <c r="G58" s="12">
        <v>277</v>
      </c>
      <c r="H58" s="12">
        <v>512</v>
      </c>
      <c r="I58" s="12">
        <v>2189</v>
      </c>
      <c r="J58" s="13">
        <v>76881</v>
      </c>
      <c r="K58" s="12">
        <v>124878</v>
      </c>
      <c r="L58" s="3" t="s">
        <v>24</v>
      </c>
      <c r="M58" s="30">
        <f>(F58 + G58 + H58 ) / K58</f>
        <v>5.563029516808405E-2</v>
      </c>
    </row>
    <row r="59" spans="1:13" ht="14.25" customHeight="1">
      <c r="A59" s="3" t="s">
        <v>137</v>
      </c>
      <c r="B59" s="3" t="s">
        <v>62</v>
      </c>
      <c r="C59" s="29">
        <v>45918</v>
      </c>
      <c r="D59" s="3" t="s">
        <v>16</v>
      </c>
      <c r="E59" s="3" t="s">
        <v>17</v>
      </c>
      <c r="F59" s="12">
        <v>4048</v>
      </c>
      <c r="G59" s="12">
        <v>677</v>
      </c>
      <c r="H59" s="12">
        <v>911</v>
      </c>
      <c r="I59" s="12">
        <v>2429</v>
      </c>
      <c r="J59" s="13">
        <v>27361</v>
      </c>
      <c r="K59" s="12">
        <v>101272</v>
      </c>
      <c r="L59" s="3" t="s">
        <v>37</v>
      </c>
      <c r="M59" s="30">
        <f>(F59 + G59 + H59 ) / K59</f>
        <v>5.5652105221581483E-2</v>
      </c>
    </row>
    <row r="60" spans="1:13" ht="14.25" customHeight="1">
      <c r="A60" s="3" t="s">
        <v>138</v>
      </c>
      <c r="B60" s="3" t="s">
        <v>62</v>
      </c>
      <c r="C60" s="29" t="s">
        <v>26</v>
      </c>
      <c r="D60" s="3" t="s">
        <v>35</v>
      </c>
      <c r="E60" s="3" t="s">
        <v>67</v>
      </c>
      <c r="F60" s="12">
        <v>11521</v>
      </c>
      <c r="G60" s="12">
        <v>1071</v>
      </c>
      <c r="H60" s="12">
        <v>762</v>
      </c>
      <c r="I60" s="12">
        <v>2539</v>
      </c>
      <c r="J60" s="13">
        <v>12701</v>
      </c>
      <c r="K60" s="12">
        <v>238350</v>
      </c>
      <c r="L60" s="3" t="s">
        <v>28</v>
      </c>
      <c r="M60" s="30">
        <f>(F60 + G60 + H60 ) / K60</f>
        <v>5.6026851269142017E-2</v>
      </c>
    </row>
    <row r="61" spans="1:13" ht="14.25" customHeight="1">
      <c r="A61" s="3" t="s">
        <v>139</v>
      </c>
      <c r="B61" s="3" t="s">
        <v>62</v>
      </c>
      <c r="C61" s="29" t="s">
        <v>140</v>
      </c>
      <c r="D61" s="3" t="s">
        <v>16</v>
      </c>
      <c r="E61" s="3" t="s">
        <v>46</v>
      </c>
      <c r="F61" s="12">
        <v>6637</v>
      </c>
      <c r="G61" s="12">
        <v>595</v>
      </c>
      <c r="H61" s="12">
        <v>161</v>
      </c>
      <c r="I61" s="12">
        <v>2653</v>
      </c>
      <c r="J61" s="13">
        <v>19334</v>
      </c>
      <c r="K61" s="12">
        <v>131155</v>
      </c>
      <c r="L61" s="3" t="s">
        <v>28</v>
      </c>
      <c r="M61" s="30">
        <f>(F61 + G61 + H61 ) / K61</f>
        <v>5.6368419046166747E-2</v>
      </c>
    </row>
    <row r="62" spans="1:13" ht="14.25" customHeight="1">
      <c r="A62" s="3" t="s">
        <v>141</v>
      </c>
      <c r="B62" s="3" t="s">
        <v>62</v>
      </c>
      <c r="C62" s="29" t="s">
        <v>142</v>
      </c>
      <c r="D62" s="3" t="s">
        <v>35</v>
      </c>
      <c r="E62" s="3" t="s">
        <v>88</v>
      </c>
      <c r="F62" s="12">
        <v>12344</v>
      </c>
      <c r="G62" s="12">
        <v>815</v>
      </c>
      <c r="H62" s="12">
        <v>298</v>
      </c>
      <c r="I62" s="12">
        <v>2439</v>
      </c>
      <c r="J62" s="13">
        <v>6259</v>
      </c>
      <c r="K62" s="12">
        <v>237133</v>
      </c>
      <c r="L62" s="3" t="s">
        <v>24</v>
      </c>
      <c r="M62" s="30">
        <f>(F62 + G62 + H62 ) / K62</f>
        <v>5.6748744375519224E-2</v>
      </c>
    </row>
    <row r="63" spans="1:13" ht="14.25" customHeight="1">
      <c r="A63" s="3" t="s">
        <v>143</v>
      </c>
      <c r="B63" s="3" t="s">
        <v>44</v>
      </c>
      <c r="C63" s="29" t="s">
        <v>144</v>
      </c>
      <c r="D63" s="3" t="s">
        <v>31</v>
      </c>
      <c r="E63" s="3" t="s">
        <v>103</v>
      </c>
      <c r="F63" s="12">
        <v>2666</v>
      </c>
      <c r="G63" s="12">
        <v>1136</v>
      </c>
      <c r="H63" s="12">
        <v>989</v>
      </c>
      <c r="I63" s="12">
        <v>1710</v>
      </c>
      <c r="J63" s="13">
        <v>36467</v>
      </c>
      <c r="K63" s="12">
        <v>83753</v>
      </c>
      <c r="L63" s="3" t="s">
        <v>28</v>
      </c>
      <c r="M63" s="30">
        <f>(F63 + G63 + H63 ) / K63</f>
        <v>5.7203921053574198E-2</v>
      </c>
    </row>
    <row r="64" spans="1:13" ht="14.25" customHeight="1">
      <c r="A64" s="3" t="s">
        <v>145</v>
      </c>
      <c r="B64" s="3" t="s">
        <v>44</v>
      </c>
      <c r="C64" s="29" t="s">
        <v>73</v>
      </c>
      <c r="D64" s="3" t="s">
        <v>31</v>
      </c>
      <c r="E64" s="3" t="s">
        <v>17</v>
      </c>
      <c r="F64" s="12">
        <v>2404</v>
      </c>
      <c r="G64" s="12">
        <v>774</v>
      </c>
      <c r="H64" s="12">
        <v>661</v>
      </c>
      <c r="I64" s="12">
        <v>662</v>
      </c>
      <c r="J64" s="13">
        <v>12676</v>
      </c>
      <c r="K64" s="12">
        <v>66916</v>
      </c>
      <c r="L64" s="3" t="s">
        <v>33</v>
      </c>
      <c r="M64" s="30">
        <f>(F64 + G64 + H64 ) / K64</f>
        <v>5.7370434574690654E-2</v>
      </c>
    </row>
    <row r="65" spans="1:13" ht="14.25" customHeight="1">
      <c r="A65" s="3" t="s">
        <v>146</v>
      </c>
      <c r="B65" s="3" t="s">
        <v>44</v>
      </c>
      <c r="C65" s="29" t="s">
        <v>147</v>
      </c>
      <c r="D65" s="3" t="s">
        <v>35</v>
      </c>
      <c r="E65" s="3" t="s">
        <v>46</v>
      </c>
      <c r="F65" s="12">
        <v>2009</v>
      </c>
      <c r="G65" s="12">
        <v>1037</v>
      </c>
      <c r="H65" s="12">
        <v>344</v>
      </c>
      <c r="I65" s="12">
        <v>2277</v>
      </c>
      <c r="J65" s="13">
        <v>85743</v>
      </c>
      <c r="K65" s="12">
        <v>58743</v>
      </c>
      <c r="L65" s="3" t="s">
        <v>24</v>
      </c>
      <c r="M65" s="30">
        <f>(F65 + G65 + H65 ) / K65</f>
        <v>5.7709003625963942E-2</v>
      </c>
    </row>
    <row r="66" spans="1:13" ht="14.25" customHeight="1">
      <c r="A66" s="3" t="s">
        <v>148</v>
      </c>
      <c r="B66" s="3" t="s">
        <v>14</v>
      </c>
      <c r="C66" s="29">
        <v>45907</v>
      </c>
      <c r="D66" s="3" t="s">
        <v>35</v>
      </c>
      <c r="E66" s="3" t="s">
        <v>60</v>
      </c>
      <c r="F66" s="12">
        <v>3015</v>
      </c>
      <c r="G66" s="12">
        <v>997</v>
      </c>
      <c r="H66" s="12">
        <v>783</v>
      </c>
      <c r="I66" s="12">
        <v>617</v>
      </c>
      <c r="J66" s="13">
        <v>23275</v>
      </c>
      <c r="K66" s="12">
        <v>82229</v>
      </c>
      <c r="L66" s="3" t="s">
        <v>37</v>
      </c>
      <c r="M66" s="30">
        <f>(F66 + G66 + H66 ) / K66</f>
        <v>5.8312760704860814E-2</v>
      </c>
    </row>
    <row r="67" spans="1:13" ht="14.25" customHeight="1">
      <c r="A67" s="3" t="s">
        <v>149</v>
      </c>
      <c r="B67" s="3" t="s">
        <v>20</v>
      </c>
      <c r="C67" s="29" t="s">
        <v>150</v>
      </c>
      <c r="D67" s="3" t="s">
        <v>16</v>
      </c>
      <c r="E67" s="3" t="s">
        <v>103</v>
      </c>
      <c r="F67" s="12">
        <v>7997</v>
      </c>
      <c r="G67" s="12">
        <v>1238</v>
      </c>
      <c r="H67" s="12">
        <v>438</v>
      </c>
      <c r="I67" s="12">
        <v>1874</v>
      </c>
      <c r="J67" s="13">
        <v>36272</v>
      </c>
      <c r="K67" s="12">
        <v>165818</v>
      </c>
      <c r="L67" s="3" t="s">
        <v>18</v>
      </c>
      <c r="M67" s="30">
        <f>(F67 + G67 + H67 ) / K67</f>
        <v>5.8335042034037318E-2</v>
      </c>
    </row>
    <row r="68" spans="1:13" ht="14.25" customHeight="1">
      <c r="A68" s="3" t="s">
        <v>151</v>
      </c>
      <c r="B68" s="3" t="s">
        <v>20</v>
      </c>
      <c r="C68" s="29" t="s">
        <v>152</v>
      </c>
      <c r="D68" s="3" t="s">
        <v>16</v>
      </c>
      <c r="E68" s="3" t="s">
        <v>23</v>
      </c>
      <c r="F68" s="12">
        <v>6673</v>
      </c>
      <c r="G68" s="12">
        <v>826</v>
      </c>
      <c r="H68" s="12">
        <v>321</v>
      </c>
      <c r="I68" s="12">
        <v>577</v>
      </c>
      <c r="J68" s="13">
        <v>19262</v>
      </c>
      <c r="K68" s="12">
        <v>132324</v>
      </c>
      <c r="L68" s="3" t="s">
        <v>18</v>
      </c>
      <c r="M68" s="30">
        <f>(F68 + G68 + H68 ) / K68</f>
        <v>5.9097367068710133E-2</v>
      </c>
    </row>
    <row r="69" spans="1:13" ht="14.25" customHeight="1">
      <c r="A69" s="3" t="s">
        <v>153</v>
      </c>
      <c r="B69" s="3" t="s">
        <v>20</v>
      </c>
      <c r="C69" s="29" t="s">
        <v>154</v>
      </c>
      <c r="D69" s="3" t="s">
        <v>31</v>
      </c>
      <c r="E69" s="3" t="s">
        <v>32</v>
      </c>
      <c r="F69" s="12">
        <v>2055</v>
      </c>
      <c r="G69" s="12">
        <v>675</v>
      </c>
      <c r="H69" s="12">
        <v>257</v>
      </c>
      <c r="I69" s="12">
        <v>820</v>
      </c>
      <c r="J69" s="13">
        <v>33534</v>
      </c>
      <c r="K69" s="12">
        <v>48125</v>
      </c>
      <c r="L69" s="3" t="s">
        <v>33</v>
      </c>
      <c r="M69" s="30">
        <f>(F69 + G69 + H69 ) / K69</f>
        <v>6.2067532467532466E-2</v>
      </c>
    </row>
    <row r="70" spans="1:13" ht="14.25" customHeight="1">
      <c r="A70" s="3" t="s">
        <v>155</v>
      </c>
      <c r="B70" s="3" t="s">
        <v>20</v>
      </c>
      <c r="C70" s="29" t="s">
        <v>156</v>
      </c>
      <c r="D70" s="3" t="s">
        <v>35</v>
      </c>
      <c r="E70" s="3" t="s">
        <v>36</v>
      </c>
      <c r="F70" s="12">
        <v>11333</v>
      </c>
      <c r="G70" s="12">
        <v>920</v>
      </c>
      <c r="H70" s="12">
        <v>294</v>
      </c>
      <c r="I70" s="12">
        <v>606</v>
      </c>
      <c r="J70" s="13">
        <v>59490</v>
      </c>
      <c r="K70" s="12">
        <v>202082</v>
      </c>
      <c r="L70" s="3" t="s">
        <v>28</v>
      </c>
      <c r="M70" s="30">
        <f>(F70 + G70 + H70 ) / K70</f>
        <v>6.2088657079799291E-2</v>
      </c>
    </row>
    <row r="71" spans="1:13" ht="14.25" customHeight="1">
      <c r="A71" s="3" t="s">
        <v>157</v>
      </c>
      <c r="B71" s="3" t="s">
        <v>62</v>
      </c>
      <c r="C71" s="29" t="s">
        <v>126</v>
      </c>
      <c r="D71" s="3" t="s">
        <v>35</v>
      </c>
      <c r="E71" s="3" t="s">
        <v>32</v>
      </c>
      <c r="F71" s="12">
        <v>12478</v>
      </c>
      <c r="G71" s="12">
        <v>484</v>
      </c>
      <c r="H71" s="12">
        <v>332</v>
      </c>
      <c r="I71" s="12">
        <v>2734</v>
      </c>
      <c r="J71" s="13">
        <v>43338</v>
      </c>
      <c r="K71" s="12">
        <v>213895</v>
      </c>
      <c r="L71" s="3" t="s">
        <v>24</v>
      </c>
      <c r="M71" s="30">
        <f>(F71 + G71 + H71 ) / K71</f>
        <v>6.2151990462610156E-2</v>
      </c>
    </row>
    <row r="72" spans="1:13" ht="14.25" customHeight="1">
      <c r="A72" s="3" t="s">
        <v>158</v>
      </c>
      <c r="B72" s="3" t="s">
        <v>20</v>
      </c>
      <c r="C72" s="29" t="s">
        <v>159</v>
      </c>
      <c r="D72" s="3" t="s">
        <v>31</v>
      </c>
      <c r="E72" s="3" t="s">
        <v>32</v>
      </c>
      <c r="F72" s="12">
        <v>8881</v>
      </c>
      <c r="G72" s="12">
        <v>210</v>
      </c>
      <c r="H72" s="12">
        <v>673</v>
      </c>
      <c r="I72" s="12">
        <v>1565</v>
      </c>
      <c r="J72" s="13">
        <v>24847</v>
      </c>
      <c r="K72" s="12">
        <v>156891</v>
      </c>
      <c r="L72" s="3" t="s">
        <v>28</v>
      </c>
      <c r="M72" s="30">
        <f>(F72 + G72 + H72 ) / K72</f>
        <v>6.223429004850501E-2</v>
      </c>
    </row>
    <row r="73" spans="1:13" ht="14.25" customHeight="1">
      <c r="A73" s="3" t="s">
        <v>160</v>
      </c>
      <c r="B73" s="3" t="s">
        <v>62</v>
      </c>
      <c r="C73" s="29" t="s">
        <v>161</v>
      </c>
      <c r="D73" s="3" t="s">
        <v>16</v>
      </c>
      <c r="E73" s="3" t="s">
        <v>103</v>
      </c>
      <c r="F73" s="12">
        <v>7287</v>
      </c>
      <c r="G73" s="12">
        <v>1240</v>
      </c>
      <c r="H73" s="12">
        <v>686</v>
      </c>
      <c r="I73" s="12">
        <v>1255</v>
      </c>
      <c r="J73" s="13">
        <v>15403</v>
      </c>
      <c r="K73" s="12">
        <v>147971</v>
      </c>
      <c r="L73" s="3" t="s">
        <v>33</v>
      </c>
      <c r="M73" s="30">
        <f>(F73 + G73 + H73 ) / K73</f>
        <v>6.2262200025680704E-2</v>
      </c>
    </row>
    <row r="74" spans="1:13" ht="14.25" customHeight="1">
      <c r="A74" s="3" t="s">
        <v>162</v>
      </c>
      <c r="B74" s="3" t="s">
        <v>44</v>
      </c>
      <c r="C74" s="29" t="s">
        <v>163</v>
      </c>
      <c r="D74" s="3" t="s">
        <v>35</v>
      </c>
      <c r="E74" s="3" t="s">
        <v>103</v>
      </c>
      <c r="F74" s="12">
        <v>12160</v>
      </c>
      <c r="G74" s="12">
        <v>1405</v>
      </c>
      <c r="H74" s="12">
        <v>769</v>
      </c>
      <c r="I74" s="12">
        <v>1980</v>
      </c>
      <c r="J74" s="13">
        <v>33174</v>
      </c>
      <c r="K74" s="12">
        <v>226481</v>
      </c>
      <c r="L74" s="3" t="s">
        <v>33</v>
      </c>
      <c r="M74" s="30">
        <f>(F74 + G74 + H74 ) / K74</f>
        <v>6.329007731332871E-2</v>
      </c>
    </row>
    <row r="75" spans="1:13" ht="14.25" customHeight="1">
      <c r="A75" s="3" t="s">
        <v>164</v>
      </c>
      <c r="B75" s="3" t="s">
        <v>44</v>
      </c>
      <c r="C75" s="29" t="s">
        <v>165</v>
      </c>
      <c r="D75" s="3" t="s">
        <v>22</v>
      </c>
      <c r="E75" s="3" t="s">
        <v>67</v>
      </c>
      <c r="F75" s="12">
        <v>8168</v>
      </c>
      <c r="G75" s="12">
        <v>512</v>
      </c>
      <c r="H75" s="12">
        <v>442</v>
      </c>
      <c r="I75" s="12">
        <v>2343</v>
      </c>
      <c r="J75" s="13">
        <v>2753</v>
      </c>
      <c r="K75" s="12">
        <v>143896</v>
      </c>
      <c r="L75" s="3" t="s">
        <v>18</v>
      </c>
      <c r="M75" s="30">
        <f>(F75 + G75 + H75 ) / K75</f>
        <v>6.3393006059932172E-2</v>
      </c>
    </row>
    <row r="76" spans="1:13" ht="14.25" customHeight="1">
      <c r="A76" s="3" t="s">
        <v>166</v>
      </c>
      <c r="B76" s="3" t="s">
        <v>20</v>
      </c>
      <c r="C76" s="29" t="s">
        <v>167</v>
      </c>
      <c r="D76" s="3" t="s">
        <v>22</v>
      </c>
      <c r="E76" s="3" t="s">
        <v>67</v>
      </c>
      <c r="F76" s="12">
        <v>7240</v>
      </c>
      <c r="G76" s="12">
        <v>1384</v>
      </c>
      <c r="H76" s="12">
        <v>954</v>
      </c>
      <c r="I76" s="12">
        <v>2335</v>
      </c>
      <c r="J76" s="13">
        <v>6757</v>
      </c>
      <c r="K76" s="12">
        <v>150448</v>
      </c>
      <c r="L76" s="3" t="s">
        <v>28</v>
      </c>
      <c r="M76" s="30">
        <f>(F76 + G76 + H76 ) / K76</f>
        <v>6.3663192598106988E-2</v>
      </c>
    </row>
    <row r="77" spans="1:13" ht="14.25" customHeight="1">
      <c r="A77" s="3" t="s">
        <v>168</v>
      </c>
      <c r="B77" s="3" t="s">
        <v>44</v>
      </c>
      <c r="C77" s="29" t="s">
        <v>169</v>
      </c>
      <c r="D77" s="3" t="s">
        <v>22</v>
      </c>
      <c r="E77" s="3" t="s">
        <v>51</v>
      </c>
      <c r="F77" s="12">
        <v>14910</v>
      </c>
      <c r="G77" s="12">
        <v>778</v>
      </c>
      <c r="H77" s="12">
        <v>289</v>
      </c>
      <c r="I77" s="12">
        <v>2541</v>
      </c>
      <c r="J77" s="13">
        <v>14309</v>
      </c>
      <c r="K77" s="12">
        <v>247815</v>
      </c>
      <c r="L77" s="3" t="s">
        <v>28</v>
      </c>
      <c r="M77" s="30">
        <f>(F77 + G77 + H77 ) / K77</f>
        <v>6.4471480741682297E-2</v>
      </c>
    </row>
    <row r="78" spans="1:13" ht="14.25" customHeight="1">
      <c r="A78" s="3" t="s">
        <v>170</v>
      </c>
      <c r="B78" s="3" t="s">
        <v>14</v>
      </c>
      <c r="C78" s="29" t="s">
        <v>171</v>
      </c>
      <c r="D78" s="3" t="s">
        <v>16</v>
      </c>
      <c r="E78" s="3" t="s">
        <v>60</v>
      </c>
      <c r="F78" s="12">
        <v>6544</v>
      </c>
      <c r="G78" s="12">
        <v>749</v>
      </c>
      <c r="H78" s="12">
        <v>888</v>
      </c>
      <c r="I78" s="12">
        <v>594</v>
      </c>
      <c r="J78" s="13">
        <v>18171</v>
      </c>
      <c r="K78" s="12">
        <v>126475</v>
      </c>
      <c r="L78" s="3" t="s">
        <v>28</v>
      </c>
      <c r="M78" s="30">
        <f>(F78 + G78 + H78 ) / K78</f>
        <v>6.4684720300454635E-2</v>
      </c>
    </row>
    <row r="79" spans="1:13" ht="14.25" customHeight="1">
      <c r="A79" s="3" t="s">
        <v>172</v>
      </c>
      <c r="B79" s="3" t="s">
        <v>20</v>
      </c>
      <c r="C79" s="29" t="s">
        <v>173</v>
      </c>
      <c r="D79" s="3" t="s">
        <v>35</v>
      </c>
      <c r="E79" s="3" t="s">
        <v>51</v>
      </c>
      <c r="F79" s="12">
        <v>8738</v>
      </c>
      <c r="G79" s="12">
        <v>295</v>
      </c>
      <c r="H79" s="12">
        <v>529</v>
      </c>
      <c r="I79" s="12">
        <v>442</v>
      </c>
      <c r="J79" s="13">
        <v>25286</v>
      </c>
      <c r="K79" s="12">
        <v>147522</v>
      </c>
      <c r="L79" s="3" t="s">
        <v>24</v>
      </c>
      <c r="M79" s="30">
        <f>(F79 + G79 + H79 ) / K79</f>
        <v>6.4817450956467515E-2</v>
      </c>
    </row>
    <row r="80" spans="1:13" ht="14.25" customHeight="1">
      <c r="A80" s="3" t="s">
        <v>174</v>
      </c>
      <c r="B80" s="3" t="s">
        <v>62</v>
      </c>
      <c r="C80" s="29" t="s">
        <v>175</v>
      </c>
      <c r="D80" s="3" t="s">
        <v>16</v>
      </c>
      <c r="E80" s="3" t="s">
        <v>32</v>
      </c>
      <c r="F80" s="12">
        <v>12320</v>
      </c>
      <c r="G80" s="12">
        <v>1157</v>
      </c>
      <c r="H80" s="12">
        <v>365</v>
      </c>
      <c r="I80" s="12">
        <v>584</v>
      </c>
      <c r="J80" s="13">
        <v>66634</v>
      </c>
      <c r="K80" s="12">
        <v>210102</v>
      </c>
      <c r="L80" s="3" t="s">
        <v>24</v>
      </c>
      <c r="M80" s="30">
        <f>(F80 + G80 + H80 ) / K80</f>
        <v>6.5882285746922925E-2</v>
      </c>
    </row>
    <row r="81" spans="1:13" ht="14.25" customHeight="1">
      <c r="A81" s="3" t="s">
        <v>176</v>
      </c>
      <c r="B81" s="3" t="s">
        <v>14</v>
      </c>
      <c r="C81" s="29" t="s">
        <v>177</v>
      </c>
      <c r="D81" s="3" t="s">
        <v>35</v>
      </c>
      <c r="E81" s="3" t="s">
        <v>88</v>
      </c>
      <c r="F81" s="12">
        <v>9941</v>
      </c>
      <c r="G81" s="12">
        <v>1329</v>
      </c>
      <c r="H81" s="12">
        <v>238</v>
      </c>
      <c r="I81" s="12">
        <v>869</v>
      </c>
      <c r="J81" s="13">
        <v>40281</v>
      </c>
      <c r="K81" s="12">
        <v>172311</v>
      </c>
      <c r="L81" s="3" t="s">
        <v>28</v>
      </c>
      <c r="M81" s="30">
        <f>(F81 + G81 + H81 ) / K81</f>
        <v>6.6786217943137702E-2</v>
      </c>
    </row>
    <row r="82" spans="1:13" ht="14.25" customHeight="1">
      <c r="A82" s="3" t="s">
        <v>178</v>
      </c>
      <c r="B82" s="3" t="s">
        <v>62</v>
      </c>
      <c r="C82" s="29" t="s">
        <v>179</v>
      </c>
      <c r="D82" s="3" t="s">
        <v>35</v>
      </c>
      <c r="E82" s="3" t="s">
        <v>40</v>
      </c>
      <c r="F82" s="12">
        <v>12589</v>
      </c>
      <c r="G82" s="12">
        <v>346</v>
      </c>
      <c r="H82" s="12">
        <v>459</v>
      </c>
      <c r="I82" s="12">
        <v>1407</v>
      </c>
      <c r="J82" s="13">
        <v>29254</v>
      </c>
      <c r="K82" s="12">
        <v>198059</v>
      </c>
      <c r="L82" s="3" t="s">
        <v>28</v>
      </c>
      <c r="M82" s="30">
        <f>(F82 + G82 + H82 ) / K82</f>
        <v>6.7626313371268162E-2</v>
      </c>
    </row>
    <row r="83" spans="1:13" ht="14.25" customHeight="1">
      <c r="A83" s="3" t="s">
        <v>180</v>
      </c>
      <c r="B83" s="3" t="s">
        <v>44</v>
      </c>
      <c r="C83" s="29" t="s">
        <v>181</v>
      </c>
      <c r="D83" s="3" t="s">
        <v>22</v>
      </c>
      <c r="E83" s="3" t="s">
        <v>23</v>
      </c>
      <c r="F83" s="12">
        <v>11765</v>
      </c>
      <c r="G83" s="12">
        <v>693</v>
      </c>
      <c r="H83" s="12">
        <v>729</v>
      </c>
      <c r="I83" s="12">
        <v>744</v>
      </c>
      <c r="J83" s="13">
        <v>97772</v>
      </c>
      <c r="K83" s="12">
        <v>194243</v>
      </c>
      <c r="L83" s="3" t="s">
        <v>33</v>
      </c>
      <c r="M83" s="30">
        <f>(F83 + G83 + H83 ) / K83</f>
        <v>6.7889190344053579E-2</v>
      </c>
    </row>
    <row r="84" spans="1:13" ht="14.25" customHeight="1">
      <c r="A84" s="3" t="s">
        <v>182</v>
      </c>
      <c r="B84" s="3" t="s">
        <v>44</v>
      </c>
      <c r="C84" s="29" t="s">
        <v>183</v>
      </c>
      <c r="D84" s="3" t="s">
        <v>31</v>
      </c>
      <c r="E84" s="3" t="s">
        <v>32</v>
      </c>
      <c r="F84" s="12">
        <v>6432</v>
      </c>
      <c r="G84" s="12">
        <v>1272</v>
      </c>
      <c r="H84" s="12">
        <v>498</v>
      </c>
      <c r="I84" s="12">
        <v>677</v>
      </c>
      <c r="J84" s="13">
        <v>47305</v>
      </c>
      <c r="K84" s="12">
        <v>119134</v>
      </c>
      <c r="L84" s="3" t="s">
        <v>33</v>
      </c>
      <c r="M84" s="30">
        <f>(F84 + G84 + H84 ) / K84</f>
        <v>6.8846844729464299E-2</v>
      </c>
    </row>
    <row r="85" spans="1:13" ht="14.25" customHeight="1">
      <c r="A85" s="3" t="s">
        <v>184</v>
      </c>
      <c r="B85" s="3" t="s">
        <v>14</v>
      </c>
      <c r="C85" s="29" t="s">
        <v>185</v>
      </c>
      <c r="D85" s="3" t="s">
        <v>31</v>
      </c>
      <c r="E85" s="3" t="s">
        <v>60</v>
      </c>
      <c r="F85" s="12">
        <v>11860</v>
      </c>
      <c r="G85" s="12">
        <v>1448</v>
      </c>
      <c r="H85" s="12">
        <v>893</v>
      </c>
      <c r="I85" s="12">
        <v>490</v>
      </c>
      <c r="J85" s="13">
        <v>23518</v>
      </c>
      <c r="K85" s="12">
        <v>206205</v>
      </c>
      <c r="L85" s="3" t="s">
        <v>33</v>
      </c>
      <c r="M85" s="30">
        <f>(F85 + G85 + H85 ) / K85</f>
        <v>6.8868359157149436E-2</v>
      </c>
    </row>
    <row r="86" spans="1:13" ht="14.25" customHeight="1">
      <c r="A86" s="3" t="s">
        <v>186</v>
      </c>
      <c r="B86" s="3" t="s">
        <v>14</v>
      </c>
      <c r="C86" s="29">
        <v>45917</v>
      </c>
      <c r="D86" s="3" t="s">
        <v>35</v>
      </c>
      <c r="E86" s="3" t="s">
        <v>32</v>
      </c>
      <c r="F86" s="12">
        <v>15456</v>
      </c>
      <c r="G86" s="12">
        <v>590</v>
      </c>
      <c r="H86" s="12">
        <v>555</v>
      </c>
      <c r="I86" s="12">
        <v>2882</v>
      </c>
      <c r="J86" s="13">
        <v>49816</v>
      </c>
      <c r="K86" s="12">
        <v>240422</v>
      </c>
      <c r="L86" s="3" t="s">
        <v>37</v>
      </c>
      <c r="M86" s="30">
        <f>(F86 + G86 + H86 ) / K86</f>
        <v>6.9049421433978589E-2</v>
      </c>
    </row>
    <row r="87" spans="1:13" ht="14.25" customHeight="1">
      <c r="A87" s="3" t="s">
        <v>187</v>
      </c>
      <c r="B87" s="3" t="s">
        <v>44</v>
      </c>
      <c r="C87" s="29">
        <v>45925</v>
      </c>
      <c r="D87" s="3" t="s">
        <v>16</v>
      </c>
      <c r="E87" s="3" t="s">
        <v>40</v>
      </c>
      <c r="F87" s="12">
        <v>12568</v>
      </c>
      <c r="G87" s="12">
        <v>541</v>
      </c>
      <c r="H87" s="12">
        <v>273</v>
      </c>
      <c r="I87" s="12">
        <v>2767</v>
      </c>
      <c r="J87" s="13">
        <v>22331</v>
      </c>
      <c r="K87" s="12">
        <v>192747</v>
      </c>
      <c r="L87" s="3" t="s">
        <v>37</v>
      </c>
      <c r="M87" s="30">
        <f>(F87 + G87 + H87 ) / K87</f>
        <v>6.9427799135654514E-2</v>
      </c>
    </row>
    <row r="88" spans="1:13" ht="14.25" customHeight="1">
      <c r="A88" s="3" t="s">
        <v>188</v>
      </c>
      <c r="B88" s="3" t="s">
        <v>44</v>
      </c>
      <c r="C88" s="29" t="s">
        <v>189</v>
      </c>
      <c r="D88" s="3" t="s">
        <v>31</v>
      </c>
      <c r="E88" s="3" t="s">
        <v>32</v>
      </c>
      <c r="F88" s="12">
        <v>11865</v>
      </c>
      <c r="G88" s="12">
        <v>241</v>
      </c>
      <c r="H88" s="12">
        <v>319</v>
      </c>
      <c r="I88" s="12">
        <v>703</v>
      </c>
      <c r="J88" s="13">
        <v>69596</v>
      </c>
      <c r="K88" s="12">
        <v>177513</v>
      </c>
      <c r="L88" s="3" t="s">
        <v>24</v>
      </c>
      <c r="M88" s="30">
        <f>(F88 + G88 + H88 ) / K88</f>
        <v>6.999487361489018E-2</v>
      </c>
    </row>
    <row r="89" spans="1:13" ht="14.25" customHeight="1">
      <c r="A89" s="3" t="s">
        <v>190</v>
      </c>
      <c r="B89" s="3" t="s">
        <v>20</v>
      </c>
      <c r="C89" s="29" t="s">
        <v>191</v>
      </c>
      <c r="D89" s="3" t="s">
        <v>16</v>
      </c>
      <c r="E89" s="3" t="s">
        <v>17</v>
      </c>
      <c r="F89" s="12">
        <v>15917</v>
      </c>
      <c r="G89" s="12">
        <v>1479</v>
      </c>
      <c r="H89" s="12">
        <v>196</v>
      </c>
      <c r="I89" s="12">
        <v>313</v>
      </c>
      <c r="J89" s="13">
        <v>48524</v>
      </c>
      <c r="K89" s="12">
        <v>249684</v>
      </c>
      <c r="L89" s="3" t="s">
        <v>24</v>
      </c>
      <c r="M89" s="30">
        <f>(F89 + G89 + H89 ) / K89</f>
        <v>7.0457057720959296E-2</v>
      </c>
    </row>
    <row r="90" spans="1:13" ht="14.25" customHeight="1">
      <c r="A90" s="3" t="s">
        <v>192</v>
      </c>
      <c r="B90" s="3" t="s">
        <v>20</v>
      </c>
      <c r="C90" s="29">
        <v>45930</v>
      </c>
      <c r="D90" s="3" t="s">
        <v>35</v>
      </c>
      <c r="E90" s="3" t="s">
        <v>103</v>
      </c>
      <c r="F90" s="12">
        <v>8269</v>
      </c>
      <c r="G90" s="12">
        <v>250</v>
      </c>
      <c r="H90" s="12">
        <v>638</v>
      </c>
      <c r="I90" s="12">
        <v>815</v>
      </c>
      <c r="J90" s="13">
        <v>41991</v>
      </c>
      <c r="K90" s="12">
        <v>129393</v>
      </c>
      <c r="L90" s="3" t="s">
        <v>37</v>
      </c>
      <c r="M90" s="30">
        <f>(F90 + G90 + H90 ) / K90</f>
        <v>7.0768897853825175E-2</v>
      </c>
    </row>
    <row r="91" spans="1:13" ht="14.25" customHeight="1">
      <c r="A91" s="3" t="s">
        <v>193</v>
      </c>
      <c r="B91" s="3" t="s">
        <v>20</v>
      </c>
      <c r="C91" s="29">
        <v>45945</v>
      </c>
      <c r="D91" s="3" t="s">
        <v>31</v>
      </c>
      <c r="E91" s="3" t="s">
        <v>46</v>
      </c>
      <c r="F91" s="12">
        <v>8882</v>
      </c>
      <c r="G91" s="12">
        <v>701</v>
      </c>
      <c r="H91" s="12">
        <v>421</v>
      </c>
      <c r="I91" s="12">
        <v>2343</v>
      </c>
      <c r="J91" s="13">
        <v>13588</v>
      </c>
      <c r="K91" s="12">
        <v>139304</v>
      </c>
      <c r="L91" s="3" t="s">
        <v>37</v>
      </c>
      <c r="M91" s="30">
        <f>(F91 + G91 + H91 ) / K91</f>
        <v>7.1814161833113191E-2</v>
      </c>
    </row>
    <row r="92" spans="1:13" ht="14.25" customHeight="1">
      <c r="A92" s="3" t="s">
        <v>194</v>
      </c>
      <c r="B92" s="3" t="s">
        <v>20</v>
      </c>
      <c r="C92" s="29" t="s">
        <v>195</v>
      </c>
      <c r="D92" s="3" t="s">
        <v>31</v>
      </c>
      <c r="E92" s="3" t="s">
        <v>40</v>
      </c>
      <c r="F92" s="12">
        <v>8809</v>
      </c>
      <c r="G92" s="12">
        <v>1151</v>
      </c>
      <c r="H92" s="12">
        <v>908</v>
      </c>
      <c r="I92" s="12">
        <v>883</v>
      </c>
      <c r="J92" s="13">
        <v>42921</v>
      </c>
      <c r="K92" s="12">
        <v>151279</v>
      </c>
      <c r="L92" s="3" t="s">
        <v>18</v>
      </c>
      <c r="M92" s="30">
        <f>(F92 + G92 + H92 ) / K92</f>
        <v>7.1840771025720687E-2</v>
      </c>
    </row>
    <row r="93" spans="1:13" ht="14.25" customHeight="1">
      <c r="A93" s="3" t="s">
        <v>196</v>
      </c>
      <c r="B93" s="3" t="s">
        <v>14</v>
      </c>
      <c r="C93" s="29">
        <v>45923</v>
      </c>
      <c r="D93" s="3" t="s">
        <v>31</v>
      </c>
      <c r="E93" s="3" t="s">
        <v>27</v>
      </c>
      <c r="F93" s="12">
        <v>10017</v>
      </c>
      <c r="G93" s="12">
        <v>1357</v>
      </c>
      <c r="H93" s="12">
        <v>966</v>
      </c>
      <c r="I93" s="12">
        <v>2871</v>
      </c>
      <c r="J93" s="13">
        <v>14800</v>
      </c>
      <c r="K93" s="12">
        <v>171691</v>
      </c>
      <c r="L93" s="3" t="s">
        <v>37</v>
      </c>
      <c r="M93" s="30">
        <f>(F93 + G93 + H93 ) / K93</f>
        <v>7.1873307278774071E-2</v>
      </c>
    </row>
    <row r="94" spans="1:13" ht="14.25" customHeight="1">
      <c r="A94" s="3" t="s">
        <v>197</v>
      </c>
      <c r="B94" s="3" t="s">
        <v>44</v>
      </c>
      <c r="C94" s="29" t="s">
        <v>198</v>
      </c>
      <c r="D94" s="3" t="s">
        <v>22</v>
      </c>
      <c r="E94" s="3" t="s">
        <v>36</v>
      </c>
      <c r="F94" s="12">
        <v>12167</v>
      </c>
      <c r="G94" s="12">
        <v>364</v>
      </c>
      <c r="H94" s="12">
        <v>160</v>
      </c>
      <c r="I94" s="12">
        <v>616</v>
      </c>
      <c r="J94" s="13">
        <v>42228</v>
      </c>
      <c r="K94" s="12">
        <v>175832</v>
      </c>
      <c r="L94" s="3" t="s">
        <v>28</v>
      </c>
      <c r="M94" s="30">
        <f>(F94 + G94 + H94 ) / K94</f>
        <v>7.2176850630146963E-2</v>
      </c>
    </row>
    <row r="95" spans="1:13" ht="14.25" customHeight="1">
      <c r="A95" s="3" t="s">
        <v>199</v>
      </c>
      <c r="B95" s="3" t="s">
        <v>14</v>
      </c>
      <c r="C95" s="29" t="s">
        <v>39</v>
      </c>
      <c r="D95" s="3" t="s">
        <v>31</v>
      </c>
      <c r="E95" s="3" t="s">
        <v>46</v>
      </c>
      <c r="F95" s="12">
        <v>15550</v>
      </c>
      <c r="G95" s="12">
        <v>204</v>
      </c>
      <c r="H95" s="12">
        <v>279</v>
      </c>
      <c r="I95" s="12">
        <v>1646</v>
      </c>
      <c r="J95" s="13">
        <v>23275</v>
      </c>
      <c r="K95" s="12">
        <v>219436</v>
      </c>
      <c r="L95" s="3" t="s">
        <v>33</v>
      </c>
      <c r="M95" s="30">
        <f>(F95 + G95 + H95 ) / K95</f>
        <v>7.306458375107093E-2</v>
      </c>
    </row>
    <row r="96" spans="1:13" ht="14.25" customHeight="1">
      <c r="A96" s="3" t="s">
        <v>200</v>
      </c>
      <c r="B96" s="3" t="s">
        <v>62</v>
      </c>
      <c r="C96" s="29" t="s">
        <v>201</v>
      </c>
      <c r="D96" s="3" t="s">
        <v>16</v>
      </c>
      <c r="E96" s="3" t="s">
        <v>23</v>
      </c>
      <c r="F96" s="12">
        <v>13475</v>
      </c>
      <c r="G96" s="12">
        <v>1032</v>
      </c>
      <c r="H96" s="12">
        <v>295</v>
      </c>
      <c r="I96" s="12">
        <v>541</v>
      </c>
      <c r="J96" s="13">
        <v>43666</v>
      </c>
      <c r="K96" s="12">
        <v>202396</v>
      </c>
      <c r="L96" s="3" t="s">
        <v>18</v>
      </c>
      <c r="M96" s="30">
        <f>(F96 + G96 + H96 ) / K96</f>
        <v>7.3133856400324118E-2</v>
      </c>
    </row>
    <row r="97" spans="1:13" ht="14.25" customHeight="1">
      <c r="A97" s="3" t="s">
        <v>202</v>
      </c>
      <c r="B97" s="3" t="s">
        <v>44</v>
      </c>
      <c r="C97" s="29" t="s">
        <v>203</v>
      </c>
      <c r="D97" s="3" t="s">
        <v>16</v>
      </c>
      <c r="E97" s="3" t="s">
        <v>17</v>
      </c>
      <c r="F97" s="12">
        <v>10659</v>
      </c>
      <c r="G97" s="12">
        <v>1342</v>
      </c>
      <c r="H97" s="12">
        <v>408</v>
      </c>
      <c r="I97" s="12">
        <v>709</v>
      </c>
      <c r="J97" s="13">
        <v>16309</v>
      </c>
      <c r="K97" s="12">
        <v>168803</v>
      </c>
      <c r="L97" s="3" t="s">
        <v>28</v>
      </c>
      <c r="M97" s="30">
        <f>(F97 + G97 + H97 ) / K97</f>
        <v>7.3511726687321907E-2</v>
      </c>
    </row>
    <row r="98" spans="1:13" ht="14.25" customHeight="1">
      <c r="A98" s="3" t="s">
        <v>204</v>
      </c>
      <c r="B98" s="3" t="s">
        <v>14</v>
      </c>
      <c r="C98" s="29" t="s">
        <v>205</v>
      </c>
      <c r="D98" s="3" t="s">
        <v>35</v>
      </c>
      <c r="E98" s="3" t="s">
        <v>17</v>
      </c>
      <c r="F98" s="12">
        <v>10415</v>
      </c>
      <c r="G98" s="12">
        <v>1388</v>
      </c>
      <c r="H98" s="12">
        <v>725</v>
      </c>
      <c r="I98" s="12">
        <v>2462</v>
      </c>
      <c r="J98" s="13">
        <v>23275</v>
      </c>
      <c r="K98" s="12">
        <v>168267</v>
      </c>
      <c r="L98" s="3" t="s">
        <v>18</v>
      </c>
      <c r="M98" s="30">
        <f>(F98 + G98 + H98 ) / K98</f>
        <v>7.4453101321114656E-2</v>
      </c>
    </row>
    <row r="99" spans="1:13" ht="14.25" customHeight="1">
      <c r="A99" s="3" t="s">
        <v>206</v>
      </c>
      <c r="B99" s="3" t="s">
        <v>20</v>
      </c>
      <c r="C99" s="29">
        <v>45910</v>
      </c>
      <c r="D99" s="3" t="s">
        <v>31</v>
      </c>
      <c r="E99" s="3" t="s">
        <v>36</v>
      </c>
      <c r="F99" s="12">
        <v>13613</v>
      </c>
      <c r="G99" s="12">
        <v>350</v>
      </c>
      <c r="H99" s="12">
        <v>809</v>
      </c>
      <c r="I99" s="12">
        <v>2013</v>
      </c>
      <c r="J99" s="13">
        <v>20471</v>
      </c>
      <c r="K99" s="12">
        <v>198038</v>
      </c>
      <c r="L99" s="3" t="s">
        <v>37</v>
      </c>
      <c r="M99" s="30">
        <f>(F99 + G99 + H99 ) / K99</f>
        <v>7.4591745018632791E-2</v>
      </c>
    </row>
    <row r="100" spans="1:13" ht="14.25" customHeight="1">
      <c r="A100" s="3" t="s">
        <v>207</v>
      </c>
      <c r="B100" s="3" t="s">
        <v>14</v>
      </c>
      <c r="C100" s="29" t="s">
        <v>133</v>
      </c>
      <c r="D100" s="3" t="s">
        <v>31</v>
      </c>
      <c r="E100" s="3" t="s">
        <v>103</v>
      </c>
      <c r="F100" s="12">
        <v>5812</v>
      </c>
      <c r="G100" s="12">
        <v>934</v>
      </c>
      <c r="H100" s="12">
        <v>302</v>
      </c>
      <c r="I100" s="12">
        <v>2356</v>
      </c>
      <c r="J100" s="13">
        <v>37437</v>
      </c>
      <c r="K100" s="12">
        <v>93551</v>
      </c>
      <c r="L100" s="3" t="s">
        <v>33</v>
      </c>
      <c r="M100" s="30">
        <f>(F100 + G100 + H100 ) / K100</f>
        <v>7.5338585370546551E-2</v>
      </c>
    </row>
    <row r="101" spans="1:13" ht="14.25" customHeight="1">
      <c r="A101" s="3" t="s">
        <v>208</v>
      </c>
      <c r="B101" s="3" t="s">
        <v>20</v>
      </c>
      <c r="C101" s="29">
        <v>45924</v>
      </c>
      <c r="D101" s="3" t="s">
        <v>31</v>
      </c>
      <c r="E101" s="3" t="s">
        <v>51</v>
      </c>
      <c r="F101" s="12">
        <v>11795</v>
      </c>
      <c r="G101" s="12">
        <v>958</v>
      </c>
      <c r="H101" s="12">
        <v>814</v>
      </c>
      <c r="I101" s="12">
        <v>301</v>
      </c>
      <c r="J101" s="13">
        <v>12564</v>
      </c>
      <c r="K101" s="12">
        <v>179999</v>
      </c>
      <c r="L101" s="3" t="s">
        <v>37</v>
      </c>
      <c r="M101" s="30">
        <f>(F101 + G101 + H101 ) / K101</f>
        <v>7.5372640959116444E-2</v>
      </c>
    </row>
    <row r="102" spans="1:13" ht="14.25" customHeight="1">
      <c r="A102" s="3" t="s">
        <v>209</v>
      </c>
      <c r="B102" s="3" t="s">
        <v>20</v>
      </c>
      <c r="C102" s="29" t="s">
        <v>210</v>
      </c>
      <c r="D102" s="3" t="s">
        <v>16</v>
      </c>
      <c r="E102" s="3" t="s">
        <v>36</v>
      </c>
      <c r="F102" s="12">
        <v>16388</v>
      </c>
      <c r="G102" s="12">
        <v>1208</v>
      </c>
      <c r="H102" s="12">
        <v>417</v>
      </c>
      <c r="I102" s="12">
        <v>2306</v>
      </c>
      <c r="J102" s="13">
        <v>16865</v>
      </c>
      <c r="K102" s="12">
        <v>236733</v>
      </c>
      <c r="L102" s="3" t="s">
        <v>33</v>
      </c>
      <c r="M102" s="30">
        <f>(F102 + G102 + H102 ) / K102</f>
        <v>7.6089940988370866E-2</v>
      </c>
    </row>
    <row r="103" spans="1:13" ht="14.25" customHeight="1">
      <c r="A103" s="3" t="s">
        <v>211</v>
      </c>
      <c r="B103" s="3" t="s">
        <v>14</v>
      </c>
      <c r="C103" s="29" t="s">
        <v>212</v>
      </c>
      <c r="D103" s="3" t="s">
        <v>31</v>
      </c>
      <c r="E103" s="3" t="s">
        <v>46</v>
      </c>
      <c r="F103" s="12">
        <v>5818</v>
      </c>
      <c r="G103" s="12">
        <v>1252</v>
      </c>
      <c r="H103" s="12">
        <v>687</v>
      </c>
      <c r="I103" s="12">
        <v>2300</v>
      </c>
      <c r="J103" s="13">
        <v>25081</v>
      </c>
      <c r="K103" s="12">
        <v>101212</v>
      </c>
      <c r="L103" s="3" t="s">
        <v>18</v>
      </c>
      <c r="M103" s="30">
        <f>(F103 + G103 + H103 ) / K103</f>
        <v>7.6641109749832043E-2</v>
      </c>
    </row>
    <row r="104" spans="1:13" ht="14.25" customHeight="1">
      <c r="A104" s="3" t="s">
        <v>213</v>
      </c>
      <c r="B104" s="3" t="s">
        <v>44</v>
      </c>
      <c r="C104" s="29" t="s">
        <v>191</v>
      </c>
      <c r="D104" s="3" t="s">
        <v>31</v>
      </c>
      <c r="E104" s="3" t="s">
        <v>51</v>
      </c>
      <c r="F104" s="12">
        <v>14941</v>
      </c>
      <c r="G104" s="12">
        <v>1424</v>
      </c>
      <c r="H104" s="12">
        <v>238</v>
      </c>
      <c r="I104" s="12">
        <v>1054</v>
      </c>
      <c r="J104" s="13">
        <v>20516</v>
      </c>
      <c r="K104" s="12">
        <v>216048</v>
      </c>
      <c r="L104" s="3" t="s">
        <v>18</v>
      </c>
      <c r="M104" s="30">
        <f>(F104 + G104 + H104 ) / K104</f>
        <v>7.6848663260016298E-2</v>
      </c>
    </row>
    <row r="105" spans="1:13" ht="14.25" customHeight="1">
      <c r="A105" s="3" t="s">
        <v>214</v>
      </c>
      <c r="B105" s="3" t="s">
        <v>20</v>
      </c>
      <c r="C105" s="29" t="s">
        <v>215</v>
      </c>
      <c r="D105" s="3" t="s">
        <v>16</v>
      </c>
      <c r="E105" s="3" t="s">
        <v>23</v>
      </c>
      <c r="F105" s="12">
        <v>12136</v>
      </c>
      <c r="G105" s="12">
        <v>1117</v>
      </c>
      <c r="H105" s="12">
        <v>834</v>
      </c>
      <c r="I105" s="12">
        <v>892</v>
      </c>
      <c r="J105" s="13">
        <v>23275</v>
      </c>
      <c r="K105" s="12">
        <v>183273</v>
      </c>
      <c r="L105" s="3" t="s">
        <v>28</v>
      </c>
      <c r="M105" s="30">
        <f>(F105 + G105 + H105 ) / K105</f>
        <v>7.6863476889667326E-2</v>
      </c>
    </row>
    <row r="106" spans="1:13" ht="14.25" customHeight="1">
      <c r="A106" s="3" t="s">
        <v>216</v>
      </c>
      <c r="B106" s="3" t="s">
        <v>62</v>
      </c>
      <c r="C106" s="29" t="s">
        <v>217</v>
      </c>
      <c r="D106" s="3" t="s">
        <v>22</v>
      </c>
      <c r="E106" s="3" t="s">
        <v>32</v>
      </c>
      <c r="F106" s="12">
        <v>14607</v>
      </c>
      <c r="G106" s="12">
        <v>1458</v>
      </c>
      <c r="H106" s="12">
        <v>478</v>
      </c>
      <c r="I106" s="12">
        <v>334</v>
      </c>
      <c r="J106" s="13">
        <v>49257</v>
      </c>
      <c r="K106" s="12">
        <v>214668</v>
      </c>
      <c r="L106" s="3" t="s">
        <v>24</v>
      </c>
      <c r="M106" s="30">
        <f>(F106 + G106 + H106 ) / K106</f>
        <v>7.7063185942944451E-2</v>
      </c>
    </row>
    <row r="107" spans="1:13" ht="14.25" customHeight="1">
      <c r="A107" s="3" t="s">
        <v>218</v>
      </c>
      <c r="B107" s="3" t="s">
        <v>20</v>
      </c>
      <c r="C107" s="29" t="s">
        <v>219</v>
      </c>
      <c r="D107" s="3" t="s">
        <v>16</v>
      </c>
      <c r="E107" s="3" t="s">
        <v>36</v>
      </c>
      <c r="F107" s="12">
        <v>6892</v>
      </c>
      <c r="G107" s="12">
        <v>1184</v>
      </c>
      <c r="H107" s="12">
        <v>925</v>
      </c>
      <c r="I107" s="12">
        <v>1062</v>
      </c>
      <c r="J107" s="13">
        <v>75008</v>
      </c>
      <c r="K107" s="12">
        <v>116260</v>
      </c>
      <c r="L107" s="3" t="s">
        <v>18</v>
      </c>
      <c r="M107" s="30">
        <f>(F107 + G107 + H107 ) / K107</f>
        <v>7.7421297092723204E-2</v>
      </c>
    </row>
    <row r="108" spans="1:13" ht="14.25" customHeight="1">
      <c r="A108" s="3" t="s">
        <v>220</v>
      </c>
      <c r="B108" s="3" t="s">
        <v>20</v>
      </c>
      <c r="C108" s="29" t="s">
        <v>191</v>
      </c>
      <c r="D108" s="3" t="s">
        <v>35</v>
      </c>
      <c r="E108" s="3" t="s">
        <v>40</v>
      </c>
      <c r="F108" s="12">
        <v>8238</v>
      </c>
      <c r="G108" s="12">
        <v>766</v>
      </c>
      <c r="H108" s="12">
        <v>235</v>
      </c>
      <c r="I108" s="12">
        <v>1273</v>
      </c>
      <c r="J108" s="13">
        <v>4706</v>
      </c>
      <c r="K108" s="12">
        <v>119141</v>
      </c>
      <c r="L108" s="3" t="s">
        <v>24</v>
      </c>
      <c r="M108" s="30">
        <f>(F108 + G108 + H108 ) / K108</f>
        <v>7.7546772311798629E-2</v>
      </c>
    </row>
    <row r="109" spans="1:13" ht="14.25" customHeight="1">
      <c r="A109" s="3" t="s">
        <v>221</v>
      </c>
      <c r="B109" s="3" t="s">
        <v>20</v>
      </c>
      <c r="C109" s="29" t="s">
        <v>222</v>
      </c>
      <c r="D109" s="3" t="s">
        <v>31</v>
      </c>
      <c r="E109" s="3" t="s">
        <v>46</v>
      </c>
      <c r="F109" s="12">
        <v>16430</v>
      </c>
      <c r="G109" s="12">
        <v>488</v>
      </c>
      <c r="H109" s="12">
        <v>514</v>
      </c>
      <c r="I109" s="12">
        <v>1436</v>
      </c>
      <c r="J109" s="13">
        <v>30059</v>
      </c>
      <c r="K109" s="12">
        <v>223305</v>
      </c>
      <c r="L109" s="3" t="s">
        <v>24</v>
      </c>
      <c r="M109" s="30">
        <f>(F109 + G109 + H109 ) / K109</f>
        <v>7.8063634938760881E-2</v>
      </c>
    </row>
    <row r="110" spans="1:13" ht="14.25" customHeight="1">
      <c r="A110" s="3" t="s">
        <v>223</v>
      </c>
      <c r="B110" s="3" t="s">
        <v>14</v>
      </c>
      <c r="C110" s="29" t="s">
        <v>224</v>
      </c>
      <c r="D110" s="3" t="s">
        <v>22</v>
      </c>
      <c r="E110" s="3" t="s">
        <v>17</v>
      </c>
      <c r="F110" s="12">
        <v>15746</v>
      </c>
      <c r="G110" s="12">
        <v>258</v>
      </c>
      <c r="H110" s="12">
        <v>839</v>
      </c>
      <c r="I110" s="12">
        <v>2656</v>
      </c>
      <c r="J110" s="13">
        <v>66614</v>
      </c>
      <c r="K110" s="12">
        <v>213724</v>
      </c>
      <c r="L110" s="3" t="s">
        <v>28</v>
      </c>
      <c r="M110" s="30">
        <f>(F110 + G110 + H110 ) / K110</f>
        <v>7.8807246729426739E-2</v>
      </c>
    </row>
    <row r="111" spans="1:13" ht="14.25" customHeight="1">
      <c r="A111" s="3" t="s">
        <v>225</v>
      </c>
      <c r="B111" s="3" t="s">
        <v>44</v>
      </c>
      <c r="C111" s="29" t="s">
        <v>226</v>
      </c>
      <c r="D111" s="3" t="s">
        <v>35</v>
      </c>
      <c r="E111" s="3" t="s">
        <v>36</v>
      </c>
      <c r="F111" s="12">
        <v>17679</v>
      </c>
      <c r="G111" s="12">
        <v>690</v>
      </c>
      <c r="H111" s="12">
        <v>451</v>
      </c>
      <c r="I111" s="12">
        <v>2195</v>
      </c>
      <c r="J111" s="13">
        <v>4390</v>
      </c>
      <c r="K111" s="12">
        <v>235804</v>
      </c>
      <c r="L111" s="3" t="s">
        <v>18</v>
      </c>
      <c r="M111" s="30">
        <f>(F111 + G111 + H111 ) / K111</f>
        <v>7.9812047293514959E-2</v>
      </c>
    </row>
    <row r="112" spans="1:13" ht="14.25" customHeight="1">
      <c r="A112" s="3" t="s">
        <v>227</v>
      </c>
      <c r="B112" s="3" t="s">
        <v>20</v>
      </c>
      <c r="C112" s="29">
        <v>45944</v>
      </c>
      <c r="D112" s="3" t="s">
        <v>16</v>
      </c>
      <c r="E112" s="3" t="s">
        <v>40</v>
      </c>
      <c r="F112" s="12">
        <v>9673</v>
      </c>
      <c r="G112" s="12">
        <v>393</v>
      </c>
      <c r="H112" s="12">
        <v>846</v>
      </c>
      <c r="I112" s="12">
        <v>1028</v>
      </c>
      <c r="J112" s="13">
        <v>55556</v>
      </c>
      <c r="K112" s="12">
        <v>136652</v>
      </c>
      <c r="L112" s="3" t="s">
        <v>37</v>
      </c>
      <c r="M112" s="30">
        <f>(F112 + G112 + H112 ) / K112</f>
        <v>7.9852471972601938E-2</v>
      </c>
    </row>
    <row r="113" spans="1:13" ht="14.25" customHeight="1">
      <c r="A113" s="3" t="s">
        <v>228</v>
      </c>
      <c r="B113" s="3" t="s">
        <v>44</v>
      </c>
      <c r="C113" s="29" t="s">
        <v>229</v>
      </c>
      <c r="D113" s="3" t="s">
        <v>16</v>
      </c>
      <c r="E113" s="3" t="s">
        <v>27</v>
      </c>
      <c r="F113" s="12">
        <v>10150</v>
      </c>
      <c r="G113" s="12">
        <v>526</v>
      </c>
      <c r="H113" s="12">
        <v>888</v>
      </c>
      <c r="I113" s="12">
        <v>1313</v>
      </c>
      <c r="J113" s="13">
        <v>51605</v>
      </c>
      <c r="K113" s="12">
        <v>143409</v>
      </c>
      <c r="L113" s="3" t="s">
        <v>33</v>
      </c>
      <c r="M113" s="30">
        <f>(F113 + G113 + H113 ) / K113</f>
        <v>8.0636501195880311E-2</v>
      </c>
    </row>
    <row r="114" spans="1:13" ht="14.25" customHeight="1">
      <c r="A114" s="3" t="s">
        <v>230</v>
      </c>
      <c r="B114" s="3" t="s">
        <v>20</v>
      </c>
      <c r="C114" s="29" t="s">
        <v>231</v>
      </c>
      <c r="D114" s="3" t="s">
        <v>22</v>
      </c>
      <c r="E114" s="3" t="s">
        <v>103</v>
      </c>
      <c r="F114" s="12">
        <v>9561</v>
      </c>
      <c r="G114" s="12">
        <v>642</v>
      </c>
      <c r="H114" s="12">
        <v>581</v>
      </c>
      <c r="I114" s="12">
        <v>2572</v>
      </c>
      <c r="J114" s="13">
        <v>38552</v>
      </c>
      <c r="K114" s="12">
        <v>133680</v>
      </c>
      <c r="L114" s="3" t="s">
        <v>33</v>
      </c>
      <c r="M114" s="30">
        <f>(F114 + G114 + H114 ) / K114</f>
        <v>8.0670257330939563E-2</v>
      </c>
    </row>
    <row r="115" spans="1:13" ht="14.25" customHeight="1">
      <c r="A115" s="3" t="s">
        <v>232</v>
      </c>
      <c r="B115" s="3" t="s">
        <v>14</v>
      </c>
      <c r="C115" s="29">
        <v>45938</v>
      </c>
      <c r="D115" s="3" t="s">
        <v>35</v>
      </c>
      <c r="E115" s="3" t="s">
        <v>17</v>
      </c>
      <c r="F115" s="12">
        <v>17745</v>
      </c>
      <c r="G115" s="12">
        <v>414</v>
      </c>
      <c r="H115" s="12">
        <v>563</v>
      </c>
      <c r="I115" s="12">
        <v>2733</v>
      </c>
      <c r="J115" s="13">
        <v>995</v>
      </c>
      <c r="K115" s="12">
        <v>231648</v>
      </c>
      <c r="L115" s="3" t="s">
        <v>37</v>
      </c>
      <c r="M115" s="30">
        <f>(F115 + G115 + H115 ) / K115</f>
        <v>8.0820900676889074E-2</v>
      </c>
    </row>
    <row r="116" spans="1:13" ht="14.25" customHeight="1">
      <c r="A116" s="3" t="s">
        <v>233</v>
      </c>
      <c r="B116" s="3" t="s">
        <v>62</v>
      </c>
      <c r="C116" s="29">
        <v>45939</v>
      </c>
      <c r="D116" s="3" t="s">
        <v>16</v>
      </c>
      <c r="E116" s="3" t="s">
        <v>60</v>
      </c>
      <c r="F116" s="12">
        <v>18748</v>
      </c>
      <c r="G116" s="12">
        <v>634</v>
      </c>
      <c r="H116" s="12">
        <v>400</v>
      </c>
      <c r="I116" s="12">
        <v>1667</v>
      </c>
      <c r="J116" s="13">
        <v>75813</v>
      </c>
      <c r="K116" s="12">
        <v>244456</v>
      </c>
      <c r="L116" s="3" t="s">
        <v>37</v>
      </c>
      <c r="M116" s="30">
        <f>(F116 + G116 + H116 ) / K116</f>
        <v>8.0922538207284747E-2</v>
      </c>
    </row>
    <row r="117" spans="1:13" ht="14.25" customHeight="1">
      <c r="A117" s="3" t="s">
        <v>234</v>
      </c>
      <c r="B117" s="3" t="s">
        <v>44</v>
      </c>
      <c r="C117" s="29" t="s">
        <v>235</v>
      </c>
      <c r="D117" s="3" t="s">
        <v>31</v>
      </c>
      <c r="E117" s="3" t="s">
        <v>17</v>
      </c>
      <c r="F117" s="12">
        <v>14015</v>
      </c>
      <c r="G117" s="12">
        <v>978</v>
      </c>
      <c r="H117" s="12">
        <v>196</v>
      </c>
      <c r="I117" s="12">
        <v>2744</v>
      </c>
      <c r="J117" s="13">
        <v>20190</v>
      </c>
      <c r="K117" s="12">
        <v>186470</v>
      </c>
      <c r="L117" s="3" t="s">
        <v>28</v>
      </c>
      <c r="M117" s="30">
        <f>(F117 + G117 + H117 ) / K117</f>
        <v>8.1455462004611998E-2</v>
      </c>
    </row>
    <row r="118" spans="1:13" ht="14.25" customHeight="1">
      <c r="A118" s="3" t="s">
        <v>236</v>
      </c>
      <c r="B118" s="3" t="s">
        <v>20</v>
      </c>
      <c r="C118" s="29">
        <v>45925</v>
      </c>
      <c r="D118" s="3" t="s">
        <v>22</v>
      </c>
      <c r="E118" s="3" t="s">
        <v>40</v>
      </c>
      <c r="F118" s="12">
        <v>8371</v>
      </c>
      <c r="G118" s="12">
        <v>960</v>
      </c>
      <c r="H118" s="12">
        <v>548</v>
      </c>
      <c r="I118" s="12">
        <v>2936</v>
      </c>
      <c r="J118" s="13">
        <v>82543</v>
      </c>
      <c r="K118" s="12">
        <v>119973</v>
      </c>
      <c r="L118" s="3" t="s">
        <v>37</v>
      </c>
      <c r="M118" s="30">
        <f>(F118 + G118 + H118 ) / K118</f>
        <v>8.2343527293641069E-2</v>
      </c>
    </row>
    <row r="119" spans="1:13" ht="14.25" customHeight="1">
      <c r="A119" s="3" t="s">
        <v>237</v>
      </c>
      <c r="B119" s="3" t="s">
        <v>44</v>
      </c>
      <c r="C119" s="29" t="s">
        <v>238</v>
      </c>
      <c r="D119" s="3" t="s">
        <v>22</v>
      </c>
      <c r="E119" s="3" t="s">
        <v>46</v>
      </c>
      <c r="F119" s="12">
        <v>18639</v>
      </c>
      <c r="G119" s="12">
        <v>1360</v>
      </c>
      <c r="H119" s="12">
        <v>898</v>
      </c>
      <c r="I119" s="12">
        <v>2011</v>
      </c>
      <c r="J119" s="13">
        <v>23275</v>
      </c>
      <c r="K119" s="12">
        <v>247779</v>
      </c>
      <c r="L119" s="3" t="s">
        <v>24</v>
      </c>
      <c r="M119" s="30">
        <f>(F119 + G119 + H119 ) / K119</f>
        <v>8.4337252148083575E-2</v>
      </c>
    </row>
    <row r="120" spans="1:13" ht="14.25" customHeight="1">
      <c r="A120" s="3" t="s">
        <v>239</v>
      </c>
      <c r="B120" s="3" t="s">
        <v>44</v>
      </c>
      <c r="C120" s="29" t="s">
        <v>240</v>
      </c>
      <c r="D120" s="3" t="s">
        <v>31</v>
      </c>
      <c r="E120" s="3" t="s">
        <v>27</v>
      </c>
      <c r="F120" s="12">
        <v>10837</v>
      </c>
      <c r="G120" s="12">
        <v>1004</v>
      </c>
      <c r="H120" s="12">
        <v>922</v>
      </c>
      <c r="I120" s="12">
        <v>1108</v>
      </c>
      <c r="J120" s="13">
        <v>36807</v>
      </c>
      <c r="K120" s="12">
        <v>150350</v>
      </c>
      <c r="L120" s="3" t="s">
        <v>28</v>
      </c>
      <c r="M120" s="30">
        <f>(F120 + G120 + H120 ) / K120</f>
        <v>8.4888593282341204E-2</v>
      </c>
    </row>
    <row r="121" spans="1:13" ht="14.25" customHeight="1">
      <c r="A121" s="3" t="s">
        <v>241</v>
      </c>
      <c r="B121" s="3" t="s">
        <v>44</v>
      </c>
      <c r="C121" s="29" t="s">
        <v>242</v>
      </c>
      <c r="D121" s="3" t="s">
        <v>35</v>
      </c>
      <c r="E121" s="3" t="s">
        <v>67</v>
      </c>
      <c r="F121" s="12">
        <v>10258</v>
      </c>
      <c r="G121" s="12">
        <v>527</v>
      </c>
      <c r="H121" s="12">
        <v>854</v>
      </c>
      <c r="I121" s="12">
        <v>2068</v>
      </c>
      <c r="J121" s="13">
        <v>45632</v>
      </c>
      <c r="K121" s="12">
        <v>136546</v>
      </c>
      <c r="L121" s="3" t="s">
        <v>18</v>
      </c>
      <c r="M121" s="30">
        <f>(F121 + G121 + H121 ) / K121</f>
        <v>8.5238674146441498E-2</v>
      </c>
    </row>
    <row r="122" spans="1:13" ht="14.25" customHeight="1">
      <c r="A122" s="3" t="s">
        <v>243</v>
      </c>
      <c r="B122" s="3" t="s">
        <v>14</v>
      </c>
      <c r="C122" s="29">
        <v>45909</v>
      </c>
      <c r="D122" s="3" t="s">
        <v>22</v>
      </c>
      <c r="E122" s="3" t="s">
        <v>46</v>
      </c>
      <c r="F122" s="12">
        <v>15772</v>
      </c>
      <c r="G122" s="12">
        <v>288</v>
      </c>
      <c r="H122" s="12">
        <v>520</v>
      </c>
      <c r="I122" s="12">
        <v>1585</v>
      </c>
      <c r="J122" s="13">
        <v>59182</v>
      </c>
      <c r="K122" s="12">
        <v>194351</v>
      </c>
      <c r="L122" s="3" t="s">
        <v>37</v>
      </c>
      <c r="M122" s="30">
        <f>(F122 + G122 + H122 ) / K122</f>
        <v>8.5309568769905988E-2</v>
      </c>
    </row>
    <row r="123" spans="1:13" ht="14.25" customHeight="1">
      <c r="A123" s="3" t="s">
        <v>244</v>
      </c>
      <c r="B123" s="3" t="s">
        <v>14</v>
      </c>
      <c r="C123" s="29" t="s">
        <v>245</v>
      </c>
      <c r="D123" s="3" t="s">
        <v>16</v>
      </c>
      <c r="E123" s="3" t="s">
        <v>36</v>
      </c>
      <c r="F123" s="12">
        <v>16309</v>
      </c>
      <c r="G123" s="12">
        <v>1449</v>
      </c>
      <c r="H123" s="12">
        <v>838</v>
      </c>
      <c r="I123" s="12">
        <v>2434</v>
      </c>
      <c r="J123" s="13">
        <v>2940</v>
      </c>
      <c r="K123" s="12">
        <v>217953</v>
      </c>
      <c r="L123" s="3" t="s">
        <v>24</v>
      </c>
      <c r="M123" s="30">
        <f>(F123 + G123 + H123 ) / K123</f>
        <v>8.5321147219813445E-2</v>
      </c>
    </row>
    <row r="124" spans="1:13" ht="14.25" customHeight="1">
      <c r="A124" s="3" t="s">
        <v>246</v>
      </c>
      <c r="B124" s="3" t="s">
        <v>20</v>
      </c>
      <c r="C124" s="29" t="s">
        <v>30</v>
      </c>
      <c r="D124" s="3" t="s">
        <v>16</v>
      </c>
      <c r="E124" s="3" t="s">
        <v>103</v>
      </c>
      <c r="F124" s="12">
        <v>6976</v>
      </c>
      <c r="G124" s="12">
        <v>1320</v>
      </c>
      <c r="H124" s="12">
        <v>393</v>
      </c>
      <c r="I124" s="12">
        <v>2285</v>
      </c>
      <c r="J124" s="13">
        <v>14049</v>
      </c>
      <c r="K124" s="12">
        <v>101367</v>
      </c>
      <c r="L124" s="3" t="s">
        <v>18</v>
      </c>
      <c r="M124" s="30">
        <f>(F124 + G124 + H124 ) / K124</f>
        <v>8.5718231771681114E-2</v>
      </c>
    </row>
    <row r="125" spans="1:13" ht="14.25" customHeight="1">
      <c r="A125" s="3" t="s">
        <v>247</v>
      </c>
      <c r="B125" s="3" t="s">
        <v>44</v>
      </c>
      <c r="C125" s="29" t="s">
        <v>248</v>
      </c>
      <c r="D125" s="3" t="s">
        <v>22</v>
      </c>
      <c r="E125" s="3" t="s">
        <v>88</v>
      </c>
      <c r="F125" s="12">
        <v>19154</v>
      </c>
      <c r="G125" s="12">
        <v>1064</v>
      </c>
      <c r="H125" s="12">
        <v>650</v>
      </c>
      <c r="I125" s="12">
        <v>747</v>
      </c>
      <c r="J125" s="13">
        <v>42667</v>
      </c>
      <c r="K125" s="12">
        <v>242332</v>
      </c>
      <c r="L125" s="3" t="s">
        <v>28</v>
      </c>
      <c r="M125" s="30">
        <f>(F125 + G125 + H125 ) / K125</f>
        <v>8.6113266097750191E-2</v>
      </c>
    </row>
    <row r="126" spans="1:13" ht="14.25" customHeight="1">
      <c r="A126" s="3" t="s">
        <v>249</v>
      </c>
      <c r="B126" s="3" t="s">
        <v>62</v>
      </c>
      <c r="C126" s="29">
        <v>45912</v>
      </c>
      <c r="D126" s="3" t="s">
        <v>35</v>
      </c>
      <c r="E126" s="3" t="s">
        <v>60</v>
      </c>
      <c r="F126" s="12">
        <v>17158</v>
      </c>
      <c r="G126" s="12">
        <v>1192</v>
      </c>
      <c r="H126" s="12">
        <v>262</v>
      </c>
      <c r="I126" s="12">
        <v>2016</v>
      </c>
      <c r="J126" s="13">
        <v>28771</v>
      </c>
      <c r="K126" s="12">
        <v>216037</v>
      </c>
      <c r="L126" s="3" t="s">
        <v>37</v>
      </c>
      <c r="M126" s="30">
        <f>(F126 + G126 + H126 ) / K126</f>
        <v>8.6151909163708074E-2</v>
      </c>
    </row>
    <row r="127" spans="1:13" ht="14.25" customHeight="1">
      <c r="A127" s="3" t="s">
        <v>250</v>
      </c>
      <c r="B127" s="3" t="s">
        <v>14</v>
      </c>
      <c r="C127" s="29">
        <v>45910</v>
      </c>
      <c r="D127" s="3" t="s">
        <v>16</v>
      </c>
      <c r="E127" s="3" t="s">
        <v>51</v>
      </c>
      <c r="F127" s="12">
        <v>9266</v>
      </c>
      <c r="G127" s="12">
        <v>999</v>
      </c>
      <c r="H127" s="12">
        <v>928</v>
      </c>
      <c r="I127" s="12">
        <v>2700</v>
      </c>
      <c r="J127" s="13">
        <v>12264</v>
      </c>
      <c r="K127" s="12">
        <v>128397</v>
      </c>
      <c r="L127" s="3" t="s">
        <v>37</v>
      </c>
      <c r="M127" s="30">
        <f>(F127 + G127 + H127 ) / K127</f>
        <v>8.7174933993784898E-2</v>
      </c>
    </row>
    <row r="128" spans="1:13" ht="14.25" customHeight="1">
      <c r="A128" s="3" t="s">
        <v>251</v>
      </c>
      <c r="B128" s="3" t="s">
        <v>44</v>
      </c>
      <c r="C128" s="29" t="s">
        <v>73</v>
      </c>
      <c r="D128" s="3" t="s">
        <v>16</v>
      </c>
      <c r="E128" s="3" t="s">
        <v>23</v>
      </c>
      <c r="F128" s="12">
        <v>13314</v>
      </c>
      <c r="G128" s="12">
        <v>274</v>
      </c>
      <c r="H128" s="12">
        <v>626</v>
      </c>
      <c r="I128" s="12">
        <v>2280</v>
      </c>
      <c r="J128" s="13">
        <v>14639</v>
      </c>
      <c r="K128" s="12">
        <v>163008</v>
      </c>
      <c r="L128" s="3" t="s">
        <v>24</v>
      </c>
      <c r="M128" s="30">
        <f>(F128 + G128 + H128 ) / K128</f>
        <v>8.7198174322732622E-2</v>
      </c>
    </row>
    <row r="129" spans="1:13" ht="14.25" customHeight="1">
      <c r="A129" s="3" t="s">
        <v>252</v>
      </c>
      <c r="B129" s="3" t="s">
        <v>62</v>
      </c>
      <c r="C129" s="29" t="s">
        <v>253</v>
      </c>
      <c r="D129" s="3" t="s">
        <v>31</v>
      </c>
      <c r="E129" s="3" t="s">
        <v>51</v>
      </c>
      <c r="F129" s="12">
        <v>10512</v>
      </c>
      <c r="G129" s="12">
        <v>1197</v>
      </c>
      <c r="H129" s="12">
        <v>544</v>
      </c>
      <c r="I129" s="12">
        <v>2012</v>
      </c>
      <c r="J129" s="13">
        <v>10245</v>
      </c>
      <c r="K129" s="12">
        <v>140102</v>
      </c>
      <c r="L129" s="3" t="s">
        <v>33</v>
      </c>
      <c r="M129" s="30">
        <f>(F129 + G129 + H129 ) / K129</f>
        <v>8.745770938316369E-2</v>
      </c>
    </row>
    <row r="130" spans="1:13" ht="14.25" customHeight="1">
      <c r="A130" s="3" t="s">
        <v>254</v>
      </c>
      <c r="B130" s="3" t="s">
        <v>14</v>
      </c>
      <c r="C130" s="29" t="s">
        <v>131</v>
      </c>
      <c r="D130" s="3" t="s">
        <v>22</v>
      </c>
      <c r="E130" s="3" t="s">
        <v>17</v>
      </c>
      <c r="F130" s="12">
        <v>12015</v>
      </c>
      <c r="G130" s="12">
        <v>1196</v>
      </c>
      <c r="H130" s="12">
        <v>998</v>
      </c>
      <c r="I130" s="12">
        <v>1848</v>
      </c>
      <c r="J130" s="13">
        <v>44739</v>
      </c>
      <c r="K130" s="12">
        <v>161750</v>
      </c>
      <c r="L130" s="3" t="s">
        <v>18</v>
      </c>
      <c r="M130" s="30">
        <f>(F130 + G130 + H130 ) / K130</f>
        <v>8.7845440494590421E-2</v>
      </c>
    </row>
    <row r="131" spans="1:13" ht="14.25" customHeight="1">
      <c r="A131" s="3" t="s">
        <v>255</v>
      </c>
      <c r="B131" s="3" t="s">
        <v>20</v>
      </c>
      <c r="C131" s="29" t="s">
        <v>256</v>
      </c>
      <c r="D131" s="3" t="s">
        <v>16</v>
      </c>
      <c r="E131" s="3" t="s">
        <v>67</v>
      </c>
      <c r="F131" s="12">
        <v>8949</v>
      </c>
      <c r="G131" s="12">
        <v>1477</v>
      </c>
      <c r="H131" s="12">
        <v>424</v>
      </c>
      <c r="I131" s="12">
        <v>1030</v>
      </c>
      <c r="J131" s="13">
        <v>58052</v>
      </c>
      <c r="K131" s="12">
        <v>123310</v>
      </c>
      <c r="L131" s="3" t="s">
        <v>33</v>
      </c>
      <c r="M131" s="30">
        <f>(F131 + G131 + H131 ) / K131</f>
        <v>8.7989619657773091E-2</v>
      </c>
    </row>
    <row r="132" spans="1:13" ht="14.25" customHeight="1">
      <c r="A132" s="3" t="s">
        <v>257</v>
      </c>
      <c r="B132" s="3" t="s">
        <v>14</v>
      </c>
      <c r="C132" s="29">
        <v>45903</v>
      </c>
      <c r="D132" s="3" t="s">
        <v>31</v>
      </c>
      <c r="E132" s="3" t="s">
        <v>36</v>
      </c>
      <c r="F132" s="12">
        <v>4779</v>
      </c>
      <c r="G132" s="12">
        <v>1110</v>
      </c>
      <c r="H132" s="12">
        <v>436</v>
      </c>
      <c r="I132" s="12">
        <v>1574</v>
      </c>
      <c r="J132" s="13">
        <v>23275</v>
      </c>
      <c r="K132" s="12">
        <v>71585</v>
      </c>
      <c r="L132" s="3" t="s">
        <v>37</v>
      </c>
      <c r="M132" s="30">
        <f>(F132 + G132 + H132 ) / K132</f>
        <v>8.8356499266606131E-2</v>
      </c>
    </row>
    <row r="133" spans="1:13" ht="14.25" customHeight="1">
      <c r="A133" s="3" t="s">
        <v>258</v>
      </c>
      <c r="B133" s="3" t="s">
        <v>44</v>
      </c>
      <c r="C133" s="29" t="s">
        <v>259</v>
      </c>
      <c r="D133" s="3" t="s">
        <v>31</v>
      </c>
      <c r="E133" s="3" t="s">
        <v>17</v>
      </c>
      <c r="F133" s="12">
        <v>17034</v>
      </c>
      <c r="G133" s="12">
        <v>231</v>
      </c>
      <c r="H133" s="12">
        <v>290</v>
      </c>
      <c r="I133" s="12">
        <v>1387</v>
      </c>
      <c r="J133" s="13">
        <v>63550</v>
      </c>
      <c r="K133" s="12">
        <v>198280</v>
      </c>
      <c r="L133" s="3" t="s">
        <v>18</v>
      </c>
      <c r="M133" s="30">
        <f>(F133 + G133 + H133 ) / K133</f>
        <v>8.8536413153116805E-2</v>
      </c>
    </row>
    <row r="134" spans="1:13" ht="14.25" customHeight="1">
      <c r="A134" s="3" t="s">
        <v>260</v>
      </c>
      <c r="B134" s="3" t="s">
        <v>62</v>
      </c>
      <c r="C134" s="29" t="s">
        <v>261</v>
      </c>
      <c r="D134" s="3" t="s">
        <v>22</v>
      </c>
      <c r="E134" s="3" t="s">
        <v>67</v>
      </c>
      <c r="F134" s="12">
        <v>17385</v>
      </c>
      <c r="G134" s="12">
        <v>831</v>
      </c>
      <c r="H134" s="12">
        <v>568</v>
      </c>
      <c r="I134" s="12">
        <v>2227</v>
      </c>
      <c r="J134" s="13">
        <v>49351</v>
      </c>
      <c r="K134" s="12">
        <v>207450</v>
      </c>
      <c r="L134" s="3" t="s">
        <v>28</v>
      </c>
      <c r="M134" s="30">
        <f>(F134 + G134 + H134 ) / K134</f>
        <v>9.0547119787900698E-2</v>
      </c>
    </row>
    <row r="135" spans="1:13" ht="14.25" customHeight="1">
      <c r="A135" s="3" t="s">
        <v>262</v>
      </c>
      <c r="B135" s="3" t="s">
        <v>14</v>
      </c>
      <c r="C135" s="29" t="s">
        <v>263</v>
      </c>
      <c r="D135" s="3" t="s">
        <v>35</v>
      </c>
      <c r="E135" s="3" t="s">
        <v>67</v>
      </c>
      <c r="F135" s="12">
        <v>14775</v>
      </c>
      <c r="G135" s="12">
        <v>1220</v>
      </c>
      <c r="H135" s="12">
        <v>640</v>
      </c>
      <c r="I135" s="12">
        <v>1547</v>
      </c>
      <c r="J135" s="13">
        <v>28527</v>
      </c>
      <c r="K135" s="12">
        <v>183660</v>
      </c>
      <c r="L135" s="3" t="s">
        <v>18</v>
      </c>
      <c r="M135" s="30">
        <f>(F135 + G135 + H135 ) / K135</f>
        <v>9.0574975498203203E-2</v>
      </c>
    </row>
    <row r="136" spans="1:13" ht="14.25" customHeight="1">
      <c r="A136" s="3" t="s">
        <v>264</v>
      </c>
      <c r="B136" s="3" t="s">
        <v>62</v>
      </c>
      <c r="C136" s="29" t="s">
        <v>265</v>
      </c>
      <c r="D136" s="3" t="s">
        <v>35</v>
      </c>
      <c r="E136" s="3" t="s">
        <v>67</v>
      </c>
      <c r="F136" s="12">
        <v>8767</v>
      </c>
      <c r="G136" s="12">
        <v>974</v>
      </c>
      <c r="H136" s="12">
        <v>733</v>
      </c>
      <c r="I136" s="12">
        <v>1587</v>
      </c>
      <c r="J136" s="13">
        <v>74927</v>
      </c>
      <c r="K136" s="12">
        <v>113770</v>
      </c>
      <c r="L136" s="3" t="s">
        <v>33</v>
      </c>
      <c r="M136" s="30">
        <f>(F136 + G136 + H136 ) / K136</f>
        <v>9.2062933989628198E-2</v>
      </c>
    </row>
    <row r="137" spans="1:13" ht="14.25" customHeight="1">
      <c r="A137" s="3" t="s">
        <v>266</v>
      </c>
      <c r="B137" s="3" t="s">
        <v>62</v>
      </c>
      <c r="C137" s="29" t="s">
        <v>267</v>
      </c>
      <c r="D137" s="3" t="s">
        <v>22</v>
      </c>
      <c r="E137" s="3" t="s">
        <v>46</v>
      </c>
      <c r="F137" s="12">
        <v>22384</v>
      </c>
      <c r="G137" s="12">
        <v>601</v>
      </c>
      <c r="H137" s="12">
        <v>943</v>
      </c>
      <c r="I137" s="12">
        <v>515</v>
      </c>
      <c r="J137" s="13">
        <v>41309</v>
      </c>
      <c r="K137" s="12">
        <v>249373</v>
      </c>
      <c r="L137" s="3" t="s">
        <v>33</v>
      </c>
      <c r="M137" s="30">
        <f>(F137 + G137 + H137 ) / K137</f>
        <v>9.5952649244304716E-2</v>
      </c>
    </row>
    <row r="138" spans="1:13" ht="14.25" customHeight="1">
      <c r="A138" s="3" t="s">
        <v>268</v>
      </c>
      <c r="B138" s="3" t="s">
        <v>62</v>
      </c>
      <c r="C138" s="29" t="s">
        <v>269</v>
      </c>
      <c r="D138" s="3" t="s">
        <v>22</v>
      </c>
      <c r="E138" s="3" t="s">
        <v>17</v>
      </c>
      <c r="F138" s="12">
        <v>14763</v>
      </c>
      <c r="G138" s="12">
        <v>864</v>
      </c>
      <c r="H138" s="12">
        <v>336</v>
      </c>
      <c r="I138" s="12">
        <v>1493</v>
      </c>
      <c r="J138" s="13">
        <v>33310</v>
      </c>
      <c r="K138" s="12">
        <v>165932</v>
      </c>
      <c r="L138" s="3" t="s">
        <v>24</v>
      </c>
      <c r="M138" s="30">
        <f>(F138 + G138 + H138 ) / K138</f>
        <v>9.6202058674637797E-2</v>
      </c>
    </row>
    <row r="139" spans="1:13" ht="14.25" customHeight="1">
      <c r="A139" s="3" t="s">
        <v>270</v>
      </c>
      <c r="B139" s="3" t="s">
        <v>44</v>
      </c>
      <c r="C139" s="29" t="s">
        <v>271</v>
      </c>
      <c r="D139" s="3" t="s">
        <v>35</v>
      </c>
      <c r="E139" s="3" t="s">
        <v>88</v>
      </c>
      <c r="F139" s="12">
        <v>2846</v>
      </c>
      <c r="G139" s="12">
        <v>792</v>
      </c>
      <c r="H139" s="12">
        <v>902</v>
      </c>
      <c r="I139" s="12">
        <v>2469</v>
      </c>
      <c r="J139" s="13">
        <v>12130</v>
      </c>
      <c r="K139" s="12">
        <v>47151</v>
      </c>
      <c r="L139" s="3" t="s">
        <v>33</v>
      </c>
      <c r="M139" s="30">
        <f>(F139 + G139 + H139 ) / K139</f>
        <v>9.6286399015927546E-2</v>
      </c>
    </row>
    <row r="140" spans="1:13" ht="14.25" customHeight="1">
      <c r="A140" s="3" t="s">
        <v>272</v>
      </c>
      <c r="B140" s="3" t="s">
        <v>14</v>
      </c>
      <c r="C140" s="29" t="s">
        <v>76</v>
      </c>
      <c r="D140" s="3" t="s">
        <v>35</v>
      </c>
      <c r="E140" s="3" t="s">
        <v>36</v>
      </c>
      <c r="F140" s="12">
        <v>5596</v>
      </c>
      <c r="G140" s="12">
        <v>1231</v>
      </c>
      <c r="H140" s="12">
        <v>473</v>
      </c>
      <c r="I140" s="12">
        <v>2251</v>
      </c>
      <c r="J140" s="13">
        <v>43705</v>
      </c>
      <c r="K140" s="12">
        <v>75643</v>
      </c>
      <c r="L140" s="3" t="s">
        <v>33</v>
      </c>
      <c r="M140" s="30">
        <f>(F140 + G140 + H140 ) / K140</f>
        <v>9.6505955607260427E-2</v>
      </c>
    </row>
    <row r="141" spans="1:13" ht="14.25" customHeight="1">
      <c r="A141" s="3" t="s">
        <v>273</v>
      </c>
      <c r="B141" s="3" t="s">
        <v>62</v>
      </c>
      <c r="C141" s="29" t="s">
        <v>274</v>
      </c>
      <c r="D141" s="3" t="s">
        <v>31</v>
      </c>
      <c r="E141" s="3" t="s">
        <v>60</v>
      </c>
      <c r="F141" s="12">
        <v>6300</v>
      </c>
      <c r="G141" s="12">
        <v>1213</v>
      </c>
      <c r="H141" s="12">
        <v>720</v>
      </c>
      <c r="I141" s="12">
        <v>1037</v>
      </c>
      <c r="J141" s="13">
        <v>39569</v>
      </c>
      <c r="K141" s="12">
        <v>85272</v>
      </c>
      <c r="L141" s="3" t="s">
        <v>24</v>
      </c>
      <c r="M141" s="30">
        <f>(F141 + G141 + H141 ) / K141</f>
        <v>9.6549863964724647E-2</v>
      </c>
    </row>
    <row r="142" spans="1:13" ht="14.25" customHeight="1">
      <c r="A142" s="3" t="s">
        <v>275</v>
      </c>
      <c r="B142" s="3" t="s">
        <v>14</v>
      </c>
      <c r="C142" s="29">
        <v>45916</v>
      </c>
      <c r="D142" s="3" t="s">
        <v>31</v>
      </c>
      <c r="E142" s="3" t="s">
        <v>51</v>
      </c>
      <c r="F142" s="12">
        <v>16043</v>
      </c>
      <c r="G142" s="12">
        <v>595</v>
      </c>
      <c r="H142" s="12">
        <v>923</v>
      </c>
      <c r="I142" s="12">
        <v>1194</v>
      </c>
      <c r="J142" s="13">
        <v>52613</v>
      </c>
      <c r="K142" s="12">
        <v>179978</v>
      </c>
      <c r="L142" s="3" t="s">
        <v>37</v>
      </c>
      <c r="M142" s="30">
        <f>(F142 + G142 + H142 ) / K142</f>
        <v>9.757303670448611E-2</v>
      </c>
    </row>
    <row r="143" spans="1:13" ht="14.25" customHeight="1">
      <c r="A143" s="3" t="s">
        <v>276</v>
      </c>
      <c r="B143" s="3" t="s">
        <v>62</v>
      </c>
      <c r="C143" s="29" t="s">
        <v>235</v>
      </c>
      <c r="D143" s="3" t="s">
        <v>22</v>
      </c>
      <c r="E143" s="3" t="s">
        <v>88</v>
      </c>
      <c r="F143" s="12">
        <v>14234</v>
      </c>
      <c r="G143" s="12">
        <v>1013</v>
      </c>
      <c r="H143" s="12">
        <v>437</v>
      </c>
      <c r="I143" s="12">
        <v>338</v>
      </c>
      <c r="J143" s="13">
        <v>67754</v>
      </c>
      <c r="K143" s="12">
        <v>160030</v>
      </c>
      <c r="L143" s="3" t="s">
        <v>28</v>
      </c>
      <c r="M143" s="30">
        <f>(F143 + G143 + H143 ) / K143</f>
        <v>9.8006623758045364E-2</v>
      </c>
    </row>
    <row r="144" spans="1:13" ht="14.25" customHeight="1">
      <c r="A144" s="3" t="s">
        <v>277</v>
      </c>
      <c r="B144" s="3" t="s">
        <v>62</v>
      </c>
      <c r="C144" s="29">
        <v>45927</v>
      </c>
      <c r="D144" s="3" t="s">
        <v>35</v>
      </c>
      <c r="E144" s="3" t="s">
        <v>36</v>
      </c>
      <c r="F144" s="12">
        <v>18521</v>
      </c>
      <c r="G144" s="12">
        <v>1027</v>
      </c>
      <c r="H144" s="12">
        <v>230</v>
      </c>
      <c r="I144" s="12">
        <v>1247</v>
      </c>
      <c r="J144" s="13">
        <v>39588</v>
      </c>
      <c r="K144" s="12">
        <v>200928</v>
      </c>
      <c r="L144" s="3" t="s">
        <v>37</v>
      </c>
      <c r="M144" s="30">
        <f>(F144 + G144 + H144 ) / K144</f>
        <v>9.8433269628921807E-2</v>
      </c>
    </row>
    <row r="145" spans="1:13" ht="14.25" customHeight="1">
      <c r="A145" s="3" t="s">
        <v>278</v>
      </c>
      <c r="B145" s="3" t="s">
        <v>62</v>
      </c>
      <c r="C145" s="29" t="s">
        <v>150</v>
      </c>
      <c r="D145" s="3" t="s">
        <v>22</v>
      </c>
      <c r="E145" s="3" t="s">
        <v>67</v>
      </c>
      <c r="F145" s="12">
        <v>20222</v>
      </c>
      <c r="G145" s="12">
        <v>712</v>
      </c>
      <c r="H145" s="12">
        <v>604</v>
      </c>
      <c r="I145" s="12">
        <v>1272</v>
      </c>
      <c r="J145" s="13">
        <v>23275</v>
      </c>
      <c r="K145" s="12">
        <v>216422</v>
      </c>
      <c r="L145" s="3" t="s">
        <v>28</v>
      </c>
      <c r="M145" s="30">
        <f>(F145 + G145 + H145 ) / K145</f>
        <v>9.9518533235992648E-2</v>
      </c>
    </row>
    <row r="146" spans="1:13" ht="14.25" customHeight="1">
      <c r="A146" s="3" t="s">
        <v>279</v>
      </c>
      <c r="B146" s="3" t="s">
        <v>62</v>
      </c>
      <c r="C146" s="29">
        <v>45937</v>
      </c>
      <c r="D146" s="3" t="s">
        <v>16</v>
      </c>
      <c r="E146" s="3" t="s">
        <v>46</v>
      </c>
      <c r="F146" s="12">
        <v>19660</v>
      </c>
      <c r="G146" s="12">
        <v>1307</v>
      </c>
      <c r="H146" s="12">
        <v>310</v>
      </c>
      <c r="I146" s="12">
        <v>2802</v>
      </c>
      <c r="J146" s="13">
        <v>22171</v>
      </c>
      <c r="K146" s="12">
        <v>213359</v>
      </c>
      <c r="L146" s="3" t="s">
        <v>37</v>
      </c>
      <c r="M146" s="30">
        <f>(F146 + G146 + H146 ) / K146</f>
        <v>9.9723939463533293E-2</v>
      </c>
    </row>
    <row r="147" spans="1:13" ht="14.25" customHeight="1">
      <c r="A147" s="3" t="s">
        <v>280</v>
      </c>
      <c r="B147" s="3" t="s">
        <v>44</v>
      </c>
      <c r="C147" s="29" t="s">
        <v>281</v>
      </c>
      <c r="D147" s="3" t="s">
        <v>22</v>
      </c>
      <c r="E147" s="3" t="s">
        <v>51</v>
      </c>
      <c r="F147" s="12">
        <v>11111</v>
      </c>
      <c r="G147" s="12">
        <v>1222</v>
      </c>
      <c r="H147" s="12">
        <v>367</v>
      </c>
      <c r="I147" s="12">
        <v>507</v>
      </c>
      <c r="J147" s="13">
        <v>14129</v>
      </c>
      <c r="K147" s="12">
        <v>127163</v>
      </c>
      <c r="L147" s="3" t="s">
        <v>18</v>
      </c>
      <c r="M147" s="30">
        <f>(F147 + G147 + H147 ) / K147</f>
        <v>9.9871818060284834E-2</v>
      </c>
    </row>
    <row r="148" spans="1:13" ht="14.25" customHeight="1">
      <c r="A148" s="3" t="s">
        <v>282</v>
      </c>
      <c r="B148" s="3" t="s">
        <v>44</v>
      </c>
      <c r="C148" s="29" t="s">
        <v>283</v>
      </c>
      <c r="D148" s="3" t="s">
        <v>22</v>
      </c>
      <c r="E148" s="3" t="s">
        <v>40</v>
      </c>
      <c r="F148" s="12">
        <v>9350</v>
      </c>
      <c r="G148" s="12">
        <v>1024</v>
      </c>
      <c r="H148" s="12">
        <v>550</v>
      </c>
      <c r="I148" s="12">
        <v>2123</v>
      </c>
      <c r="J148" s="13">
        <v>53916</v>
      </c>
      <c r="K148" s="12">
        <v>108785</v>
      </c>
      <c r="L148" s="3" t="s">
        <v>28</v>
      </c>
      <c r="M148" s="30">
        <f>(F148 + G148 + H148 ) / K148</f>
        <v>0.10041825619340902</v>
      </c>
    </row>
    <row r="149" spans="1:13" ht="14.25" customHeight="1">
      <c r="A149" s="3" t="s">
        <v>284</v>
      </c>
      <c r="B149" s="3" t="s">
        <v>44</v>
      </c>
      <c r="C149" s="29" t="s">
        <v>285</v>
      </c>
      <c r="D149" s="3" t="s">
        <v>35</v>
      </c>
      <c r="E149" s="3" t="s">
        <v>17</v>
      </c>
      <c r="F149" s="12">
        <v>24195</v>
      </c>
      <c r="G149" s="12">
        <v>888</v>
      </c>
      <c r="H149" s="12">
        <v>165</v>
      </c>
      <c r="I149" s="12">
        <v>1559</v>
      </c>
      <c r="J149" s="13">
        <v>11596</v>
      </c>
      <c r="K149" s="12">
        <v>249988</v>
      </c>
      <c r="L149" s="3" t="s">
        <v>28</v>
      </c>
      <c r="M149" s="30">
        <f>(F149 + G149 + H149 ) / K149</f>
        <v>0.10099684784869674</v>
      </c>
    </row>
    <row r="150" spans="1:13" ht="14.25" customHeight="1">
      <c r="A150" s="3" t="s">
        <v>286</v>
      </c>
      <c r="B150" s="3" t="s">
        <v>62</v>
      </c>
      <c r="C150" s="29" t="s">
        <v>126</v>
      </c>
      <c r="D150" s="3" t="s">
        <v>16</v>
      </c>
      <c r="E150" s="3" t="s">
        <v>60</v>
      </c>
      <c r="F150" s="12">
        <v>7622</v>
      </c>
      <c r="G150" s="12">
        <v>529</v>
      </c>
      <c r="H150" s="12">
        <v>720</v>
      </c>
      <c r="I150" s="12">
        <v>1015</v>
      </c>
      <c r="J150" s="13">
        <v>71322</v>
      </c>
      <c r="K150" s="12">
        <v>86819</v>
      </c>
      <c r="L150" s="3" t="s">
        <v>18</v>
      </c>
      <c r="M150" s="30">
        <f>(F150 + G150 + H150 ) / K150</f>
        <v>0.10217809465669957</v>
      </c>
    </row>
    <row r="151" spans="1:13" ht="14.25" customHeight="1">
      <c r="A151" s="3" t="s">
        <v>287</v>
      </c>
      <c r="B151" s="3" t="s">
        <v>14</v>
      </c>
      <c r="C151" s="29">
        <v>45920</v>
      </c>
      <c r="D151" s="3" t="s">
        <v>31</v>
      </c>
      <c r="E151" s="3" t="s">
        <v>88</v>
      </c>
      <c r="F151" s="12">
        <v>24422</v>
      </c>
      <c r="G151" s="12">
        <v>327</v>
      </c>
      <c r="H151" s="12">
        <v>481</v>
      </c>
      <c r="I151" s="12">
        <v>2371</v>
      </c>
      <c r="J151" s="13">
        <v>35340</v>
      </c>
      <c r="K151" s="12">
        <v>245244</v>
      </c>
      <c r="L151" s="3" t="s">
        <v>37</v>
      </c>
      <c r="M151" s="30">
        <f>(F151 + G151 + H151 ) / K151</f>
        <v>0.10287713460879777</v>
      </c>
    </row>
    <row r="152" spans="1:13" ht="14.25" customHeight="1">
      <c r="A152" s="3" t="s">
        <v>288</v>
      </c>
      <c r="B152" s="3" t="s">
        <v>14</v>
      </c>
      <c r="C152" s="29" t="s">
        <v>289</v>
      </c>
      <c r="D152" s="3" t="s">
        <v>35</v>
      </c>
      <c r="E152" s="3" t="s">
        <v>67</v>
      </c>
      <c r="F152" s="12">
        <v>22119</v>
      </c>
      <c r="G152" s="12">
        <v>899</v>
      </c>
      <c r="H152" s="12">
        <v>642</v>
      </c>
      <c r="I152" s="12">
        <v>410</v>
      </c>
      <c r="J152" s="13">
        <v>49490</v>
      </c>
      <c r="K152" s="12">
        <v>229420</v>
      </c>
      <c r="L152" s="3" t="s">
        <v>24</v>
      </c>
      <c r="M152" s="30">
        <f>(F152 + G152 + H152 ) / K152</f>
        <v>0.10312963124400662</v>
      </c>
    </row>
    <row r="153" spans="1:13" ht="14.25" customHeight="1">
      <c r="A153" s="3" t="s">
        <v>290</v>
      </c>
      <c r="B153" s="3" t="s">
        <v>14</v>
      </c>
      <c r="C153" s="29">
        <v>45911</v>
      </c>
      <c r="D153" s="3" t="s">
        <v>22</v>
      </c>
      <c r="E153" s="3" t="s">
        <v>32</v>
      </c>
      <c r="F153" s="12">
        <v>21901</v>
      </c>
      <c r="G153" s="12">
        <v>1308</v>
      </c>
      <c r="H153" s="12">
        <v>724</v>
      </c>
      <c r="I153" s="12">
        <v>2183</v>
      </c>
      <c r="J153" s="13">
        <v>15996</v>
      </c>
      <c r="K153" s="12">
        <v>230961</v>
      </c>
      <c r="L153" s="3" t="s">
        <v>37</v>
      </c>
      <c r="M153" s="30">
        <f>(F153 + G153 + H153 ) / K153</f>
        <v>0.10362355549205277</v>
      </c>
    </row>
    <row r="154" spans="1:13" ht="14.25" customHeight="1">
      <c r="A154" s="3" t="s">
        <v>291</v>
      </c>
      <c r="B154" s="3" t="s">
        <v>14</v>
      </c>
      <c r="C154" s="29" t="s">
        <v>292</v>
      </c>
      <c r="D154" s="3" t="s">
        <v>16</v>
      </c>
      <c r="E154" s="3" t="s">
        <v>27</v>
      </c>
      <c r="F154" s="12">
        <v>3619</v>
      </c>
      <c r="G154" s="12">
        <v>1376</v>
      </c>
      <c r="H154" s="12">
        <v>410</v>
      </c>
      <c r="I154" s="12">
        <v>2499</v>
      </c>
      <c r="J154" s="13">
        <v>58146</v>
      </c>
      <c r="K154" s="12">
        <v>52149</v>
      </c>
      <c r="L154" s="3" t="s">
        <v>33</v>
      </c>
      <c r="M154" s="30">
        <f>(F154 + G154 + H154 ) / K154</f>
        <v>0.10364532397553165</v>
      </c>
    </row>
    <row r="155" spans="1:13" ht="14.25" customHeight="1">
      <c r="A155" s="3" t="s">
        <v>293</v>
      </c>
      <c r="B155" s="3" t="s">
        <v>14</v>
      </c>
      <c r="C155" s="29">
        <v>45919</v>
      </c>
      <c r="D155" s="3" t="s">
        <v>16</v>
      </c>
      <c r="E155" s="3" t="s">
        <v>23</v>
      </c>
      <c r="F155" s="12">
        <v>14772</v>
      </c>
      <c r="G155" s="12">
        <v>1030</v>
      </c>
      <c r="H155" s="12">
        <v>508</v>
      </c>
      <c r="I155" s="12">
        <v>1876</v>
      </c>
      <c r="J155" s="13">
        <v>8882</v>
      </c>
      <c r="K155" s="12">
        <v>155142</v>
      </c>
      <c r="L155" s="3" t="s">
        <v>37</v>
      </c>
      <c r="M155" s="30">
        <f>(F155 + G155 + H155 ) / K155</f>
        <v>0.10512949426976577</v>
      </c>
    </row>
    <row r="156" spans="1:13" ht="14.25" customHeight="1">
      <c r="A156" s="3" t="s">
        <v>294</v>
      </c>
      <c r="B156" s="3" t="s">
        <v>14</v>
      </c>
      <c r="C156" s="29" t="s">
        <v>295</v>
      </c>
      <c r="D156" s="3" t="s">
        <v>35</v>
      </c>
      <c r="E156" s="3" t="s">
        <v>40</v>
      </c>
      <c r="F156" s="12">
        <v>14819</v>
      </c>
      <c r="G156" s="12">
        <v>1432</v>
      </c>
      <c r="H156" s="12">
        <v>152</v>
      </c>
      <c r="I156" s="12">
        <v>961</v>
      </c>
      <c r="J156" s="13">
        <v>39154</v>
      </c>
      <c r="K156" s="12">
        <v>154793</v>
      </c>
      <c r="L156" s="3" t="s">
        <v>24</v>
      </c>
      <c r="M156" s="30">
        <f>(F156 + G156 + H156 ) / K156</f>
        <v>0.10596732410380315</v>
      </c>
    </row>
    <row r="157" spans="1:13" ht="14.25" customHeight="1">
      <c r="A157" s="3" t="s">
        <v>296</v>
      </c>
      <c r="B157" s="3" t="s">
        <v>20</v>
      </c>
      <c r="C157" s="29" t="s">
        <v>297</v>
      </c>
      <c r="D157" s="3" t="s">
        <v>22</v>
      </c>
      <c r="E157" s="3" t="s">
        <v>60</v>
      </c>
      <c r="F157" s="12">
        <v>18616</v>
      </c>
      <c r="G157" s="12">
        <v>1277</v>
      </c>
      <c r="H157" s="12">
        <v>734</v>
      </c>
      <c r="I157" s="12">
        <v>2249</v>
      </c>
      <c r="J157" s="13">
        <v>3399</v>
      </c>
      <c r="K157" s="12">
        <v>193515</v>
      </c>
      <c r="L157" s="3" t="s">
        <v>24</v>
      </c>
      <c r="M157" s="30">
        <f>(F157 + G157 + H157 ) / K157</f>
        <v>0.10659122031883833</v>
      </c>
    </row>
    <row r="158" spans="1:13" ht="14.25" customHeight="1">
      <c r="A158" s="3" t="s">
        <v>298</v>
      </c>
      <c r="B158" s="3" t="s">
        <v>20</v>
      </c>
      <c r="C158" s="29">
        <v>45941</v>
      </c>
      <c r="D158" s="3" t="s">
        <v>16</v>
      </c>
      <c r="E158" s="3" t="s">
        <v>46</v>
      </c>
      <c r="F158" s="12">
        <v>15623</v>
      </c>
      <c r="G158" s="12">
        <v>869</v>
      </c>
      <c r="H158" s="12">
        <v>423</v>
      </c>
      <c r="I158" s="12">
        <v>371</v>
      </c>
      <c r="J158" s="13">
        <v>47579</v>
      </c>
      <c r="K158" s="12">
        <v>158516</v>
      </c>
      <c r="L158" s="3" t="s">
        <v>37</v>
      </c>
      <c r="M158" s="30">
        <f>(F158 + G158 + H158 ) / K158</f>
        <v>0.10670847106916652</v>
      </c>
    </row>
    <row r="159" spans="1:13" ht="14.25" customHeight="1">
      <c r="A159" s="3" t="s">
        <v>299</v>
      </c>
      <c r="B159" s="3" t="s">
        <v>14</v>
      </c>
      <c r="C159" s="29" t="s">
        <v>300</v>
      </c>
      <c r="D159" s="3" t="s">
        <v>16</v>
      </c>
      <c r="E159" s="3" t="s">
        <v>51</v>
      </c>
      <c r="F159" s="12">
        <v>24700</v>
      </c>
      <c r="G159" s="12">
        <v>327</v>
      </c>
      <c r="H159" s="12">
        <v>999</v>
      </c>
      <c r="I159" s="12">
        <v>994</v>
      </c>
      <c r="J159" s="13">
        <v>59400</v>
      </c>
      <c r="K159" s="12">
        <v>243502</v>
      </c>
      <c r="L159" s="3" t="s">
        <v>28</v>
      </c>
      <c r="M159" s="30">
        <f>(F159 + G159 + H159 ) / K159</f>
        <v>0.10688207899729776</v>
      </c>
    </row>
    <row r="160" spans="1:13" ht="14.25" customHeight="1">
      <c r="A160" s="3" t="s">
        <v>301</v>
      </c>
      <c r="B160" s="3" t="s">
        <v>62</v>
      </c>
      <c r="C160" s="29" t="s">
        <v>179</v>
      </c>
      <c r="D160" s="3" t="s">
        <v>35</v>
      </c>
      <c r="E160" s="3" t="s">
        <v>40</v>
      </c>
      <c r="F160" s="12">
        <v>22673</v>
      </c>
      <c r="G160" s="12">
        <v>1053</v>
      </c>
      <c r="H160" s="12">
        <v>169</v>
      </c>
      <c r="I160" s="12">
        <v>1566</v>
      </c>
      <c r="J160" s="13">
        <v>9417</v>
      </c>
      <c r="K160" s="12">
        <v>221187</v>
      </c>
      <c r="L160" s="3" t="s">
        <v>24</v>
      </c>
      <c r="M160" s="30">
        <f>(F160 + G160 + H160 ) / K160</f>
        <v>0.10803076130152314</v>
      </c>
    </row>
    <row r="161" spans="1:13" ht="14.25" customHeight="1">
      <c r="A161" s="3" t="s">
        <v>302</v>
      </c>
      <c r="B161" s="3" t="s">
        <v>44</v>
      </c>
      <c r="C161" s="29">
        <v>45920</v>
      </c>
      <c r="D161" s="3" t="s">
        <v>31</v>
      </c>
      <c r="E161" s="3" t="s">
        <v>46</v>
      </c>
      <c r="F161" s="12">
        <v>12267</v>
      </c>
      <c r="G161" s="12">
        <v>1487</v>
      </c>
      <c r="H161" s="12">
        <v>489</v>
      </c>
      <c r="I161" s="12">
        <v>2748</v>
      </c>
      <c r="J161" s="13">
        <v>34685</v>
      </c>
      <c r="K161" s="12">
        <v>131736</v>
      </c>
      <c r="L161" s="3" t="s">
        <v>37</v>
      </c>
      <c r="M161" s="30">
        <f>(F161 + G161 + H161 ) / K161</f>
        <v>0.1081177506528208</v>
      </c>
    </row>
    <row r="162" spans="1:13" ht="14.25" customHeight="1">
      <c r="A162" s="3" t="s">
        <v>303</v>
      </c>
      <c r="B162" s="3" t="s">
        <v>62</v>
      </c>
      <c r="C162" s="29">
        <v>45919</v>
      </c>
      <c r="D162" s="3" t="s">
        <v>31</v>
      </c>
      <c r="E162" s="3" t="s">
        <v>46</v>
      </c>
      <c r="F162" s="12">
        <v>19100</v>
      </c>
      <c r="G162" s="12">
        <v>619</v>
      </c>
      <c r="H162" s="12">
        <v>297</v>
      </c>
      <c r="I162" s="12">
        <v>2312</v>
      </c>
      <c r="J162" s="13">
        <v>9730</v>
      </c>
      <c r="K162" s="12">
        <v>184832</v>
      </c>
      <c r="L162" s="3" t="s">
        <v>37</v>
      </c>
      <c r="M162" s="30">
        <f>(F162 + G162 + H162 ) / K162</f>
        <v>0.10829293628808864</v>
      </c>
    </row>
    <row r="163" spans="1:13" ht="14.25" customHeight="1">
      <c r="A163" s="3" t="s">
        <v>304</v>
      </c>
      <c r="B163" s="3" t="s">
        <v>62</v>
      </c>
      <c r="C163" s="29" t="s">
        <v>305</v>
      </c>
      <c r="D163" s="3" t="s">
        <v>31</v>
      </c>
      <c r="E163" s="3" t="s">
        <v>46</v>
      </c>
      <c r="F163" s="12">
        <v>20030</v>
      </c>
      <c r="G163" s="12">
        <v>485</v>
      </c>
      <c r="H163" s="12">
        <v>888</v>
      </c>
      <c r="I163" s="12">
        <v>1643</v>
      </c>
      <c r="J163" s="13">
        <v>4322</v>
      </c>
      <c r="K163" s="12">
        <v>196995</v>
      </c>
      <c r="L163" s="3" t="s">
        <v>28</v>
      </c>
      <c r="M163" s="30">
        <f>(F163 + G163 + H163 ) / K163</f>
        <v>0.10864742759968526</v>
      </c>
    </row>
    <row r="164" spans="1:13" ht="14.25" customHeight="1">
      <c r="A164" s="3" t="s">
        <v>306</v>
      </c>
      <c r="B164" s="3" t="s">
        <v>14</v>
      </c>
      <c r="C164" s="29">
        <v>45911</v>
      </c>
      <c r="D164" s="3" t="s">
        <v>16</v>
      </c>
      <c r="E164" s="3" t="s">
        <v>67</v>
      </c>
      <c r="F164" s="12">
        <v>10175</v>
      </c>
      <c r="G164" s="12">
        <v>342</v>
      </c>
      <c r="H164" s="12">
        <v>825</v>
      </c>
      <c r="I164" s="12">
        <v>2904</v>
      </c>
      <c r="J164" s="13">
        <v>15954</v>
      </c>
      <c r="K164" s="12">
        <v>104324</v>
      </c>
      <c r="L164" s="3" t="s">
        <v>37</v>
      </c>
      <c r="M164" s="30">
        <f>(F164 + G164 + H164 ) / K164</f>
        <v>0.10871899083624094</v>
      </c>
    </row>
    <row r="165" spans="1:13" ht="14.25" customHeight="1">
      <c r="A165" s="3" t="s">
        <v>307</v>
      </c>
      <c r="B165" s="3" t="s">
        <v>44</v>
      </c>
      <c r="C165" s="29" t="s">
        <v>78</v>
      </c>
      <c r="D165" s="3" t="s">
        <v>22</v>
      </c>
      <c r="E165" s="3" t="s">
        <v>36</v>
      </c>
      <c r="F165" s="12">
        <v>24574</v>
      </c>
      <c r="G165" s="12">
        <v>909</v>
      </c>
      <c r="H165" s="12">
        <v>280</v>
      </c>
      <c r="I165" s="12">
        <v>2009</v>
      </c>
      <c r="J165" s="13">
        <v>6221</v>
      </c>
      <c r="K165" s="12">
        <v>236910</v>
      </c>
      <c r="L165" s="3" t="s">
        <v>18</v>
      </c>
      <c r="M165" s="30">
        <f>(F165 + G165 + H165 ) / K165</f>
        <v>0.10874593727575872</v>
      </c>
    </row>
    <row r="166" spans="1:13" ht="14.25" customHeight="1">
      <c r="A166" s="3" t="s">
        <v>308</v>
      </c>
      <c r="B166" s="3" t="s">
        <v>62</v>
      </c>
      <c r="C166" s="29" t="s">
        <v>69</v>
      </c>
      <c r="D166" s="3" t="s">
        <v>22</v>
      </c>
      <c r="E166" s="3" t="s">
        <v>103</v>
      </c>
      <c r="F166" s="12">
        <v>20935</v>
      </c>
      <c r="G166" s="12">
        <v>1104</v>
      </c>
      <c r="H166" s="12">
        <v>876</v>
      </c>
      <c r="I166" s="12">
        <v>1270</v>
      </c>
      <c r="J166" s="13">
        <v>21454</v>
      </c>
      <c r="K166" s="12">
        <v>208722</v>
      </c>
      <c r="L166" s="3" t="s">
        <v>28</v>
      </c>
      <c r="M166" s="30">
        <f>(F166 + G166 + H166 ) / K166</f>
        <v>0.10978718103506099</v>
      </c>
    </row>
    <row r="167" spans="1:13" ht="14.25" customHeight="1">
      <c r="A167" s="3" t="s">
        <v>309</v>
      </c>
      <c r="B167" s="3" t="s">
        <v>14</v>
      </c>
      <c r="C167" s="29" t="s">
        <v>310</v>
      </c>
      <c r="D167" s="3" t="s">
        <v>31</v>
      </c>
      <c r="E167" s="3" t="s">
        <v>23</v>
      </c>
      <c r="F167" s="12">
        <v>22618</v>
      </c>
      <c r="G167" s="12">
        <v>641</v>
      </c>
      <c r="H167" s="12">
        <v>416</v>
      </c>
      <c r="I167" s="12">
        <v>1530</v>
      </c>
      <c r="J167" s="13">
        <v>18395</v>
      </c>
      <c r="K167" s="12">
        <v>215211</v>
      </c>
      <c r="L167" s="3" t="s">
        <v>18</v>
      </c>
      <c r="M167" s="30">
        <f>(F167 + G167 + H167 ) / K167</f>
        <v>0.1100083174187193</v>
      </c>
    </row>
    <row r="168" spans="1:13" ht="14.25" customHeight="1">
      <c r="A168" s="3" t="s">
        <v>311</v>
      </c>
      <c r="B168" s="3" t="s">
        <v>14</v>
      </c>
      <c r="C168" s="29" t="s">
        <v>312</v>
      </c>
      <c r="D168" s="3" t="s">
        <v>35</v>
      </c>
      <c r="E168" s="3" t="s">
        <v>23</v>
      </c>
      <c r="F168" s="12">
        <v>20117</v>
      </c>
      <c r="G168" s="12">
        <v>1143</v>
      </c>
      <c r="H168" s="12">
        <v>713</v>
      </c>
      <c r="I168" s="12">
        <v>1739</v>
      </c>
      <c r="J168" s="13">
        <v>34444</v>
      </c>
      <c r="K168" s="12">
        <v>198670</v>
      </c>
      <c r="L168" s="3" t="s">
        <v>18</v>
      </c>
      <c r="M168" s="30">
        <f>(F168 + G168 + H168 ) / K168</f>
        <v>0.11060049328031409</v>
      </c>
    </row>
    <row r="169" spans="1:13" ht="14.25" customHeight="1">
      <c r="A169" s="3" t="s">
        <v>313</v>
      </c>
      <c r="B169" s="3" t="s">
        <v>20</v>
      </c>
      <c r="C169" s="29" t="s">
        <v>314</v>
      </c>
      <c r="D169" s="3" t="s">
        <v>22</v>
      </c>
      <c r="E169" s="3" t="s">
        <v>32</v>
      </c>
      <c r="F169" s="12">
        <v>20410</v>
      </c>
      <c r="G169" s="12">
        <v>1332</v>
      </c>
      <c r="H169" s="12">
        <v>472</v>
      </c>
      <c r="I169" s="12">
        <v>1202</v>
      </c>
      <c r="J169" s="13">
        <v>9418</v>
      </c>
      <c r="K169" s="12">
        <v>200806</v>
      </c>
      <c r="L169" s="3" t="s">
        <v>33</v>
      </c>
      <c r="M169" s="30">
        <f>(F169 + G169 + H169 ) / K169</f>
        <v>0.11062418453631864</v>
      </c>
    </row>
    <row r="170" spans="1:13" ht="14.25" customHeight="1">
      <c r="A170" s="3" t="s">
        <v>315</v>
      </c>
      <c r="B170" s="3" t="s">
        <v>20</v>
      </c>
      <c r="C170" s="29" t="s">
        <v>316</v>
      </c>
      <c r="D170" s="3" t="s">
        <v>35</v>
      </c>
      <c r="E170" s="3" t="s">
        <v>40</v>
      </c>
      <c r="F170" s="12">
        <v>18907</v>
      </c>
      <c r="G170" s="12">
        <v>1075</v>
      </c>
      <c r="H170" s="12">
        <v>675</v>
      </c>
      <c r="I170" s="12">
        <v>1383</v>
      </c>
      <c r="J170" s="13">
        <v>17875</v>
      </c>
      <c r="K170" s="12">
        <v>186649</v>
      </c>
      <c r="L170" s="3" t="s">
        <v>33</v>
      </c>
      <c r="M170" s="30">
        <f>(F170 + G170 + H170 ) / K170</f>
        <v>0.11067297440650634</v>
      </c>
    </row>
    <row r="171" spans="1:13" ht="14.25" customHeight="1">
      <c r="A171" s="3" t="s">
        <v>317</v>
      </c>
      <c r="B171" s="3" t="s">
        <v>44</v>
      </c>
      <c r="C171" s="29" t="s">
        <v>318</v>
      </c>
      <c r="D171" s="3" t="s">
        <v>35</v>
      </c>
      <c r="E171" s="3" t="s">
        <v>60</v>
      </c>
      <c r="F171" s="12">
        <v>19308</v>
      </c>
      <c r="G171" s="12">
        <v>1318</v>
      </c>
      <c r="H171" s="12">
        <v>795</v>
      </c>
      <c r="I171" s="12">
        <v>1499</v>
      </c>
      <c r="J171" s="13">
        <v>23275</v>
      </c>
      <c r="K171" s="12">
        <v>193087</v>
      </c>
      <c r="L171" s="3" t="s">
        <v>28</v>
      </c>
      <c r="M171" s="30">
        <f>(F171 + G171 + H171 ) / K171</f>
        <v>0.11093962825047776</v>
      </c>
    </row>
    <row r="172" spans="1:13" ht="14.25" customHeight="1">
      <c r="A172" s="3" t="s">
        <v>319</v>
      </c>
      <c r="B172" s="3" t="s">
        <v>14</v>
      </c>
      <c r="C172" s="29" t="s">
        <v>320</v>
      </c>
      <c r="D172" s="3" t="s">
        <v>35</v>
      </c>
      <c r="E172" s="3" t="s">
        <v>17</v>
      </c>
      <c r="F172" s="12">
        <v>16512</v>
      </c>
      <c r="G172" s="12">
        <v>1050</v>
      </c>
      <c r="H172" s="12">
        <v>971</v>
      </c>
      <c r="I172" s="12">
        <v>1891</v>
      </c>
      <c r="J172" s="13">
        <v>15865</v>
      </c>
      <c r="K172" s="12">
        <v>166503</v>
      </c>
      <c r="L172" s="3" t="s">
        <v>24</v>
      </c>
      <c r="M172" s="30">
        <f>(F172 + G172 + H172 ) / K172</f>
        <v>0.1113073037723044</v>
      </c>
    </row>
    <row r="173" spans="1:13" ht="14.25" customHeight="1">
      <c r="A173" s="3" t="s">
        <v>321</v>
      </c>
      <c r="B173" s="3" t="s">
        <v>62</v>
      </c>
      <c r="C173" s="29" t="s">
        <v>322</v>
      </c>
      <c r="D173" s="3" t="s">
        <v>22</v>
      </c>
      <c r="E173" s="3" t="s">
        <v>46</v>
      </c>
      <c r="F173" s="12">
        <v>21123</v>
      </c>
      <c r="G173" s="12">
        <v>1343</v>
      </c>
      <c r="H173" s="12">
        <v>589</v>
      </c>
      <c r="I173" s="12">
        <v>727</v>
      </c>
      <c r="J173" s="13">
        <v>87833</v>
      </c>
      <c r="K173" s="12">
        <v>206703</v>
      </c>
      <c r="L173" s="3" t="s">
        <v>33</v>
      </c>
      <c r="M173" s="30">
        <f>(F173 + G173 + H173 ) / K173</f>
        <v>0.11153684271636116</v>
      </c>
    </row>
    <row r="174" spans="1:13" ht="14.25" customHeight="1">
      <c r="A174" s="3" t="s">
        <v>323</v>
      </c>
      <c r="B174" s="3" t="s">
        <v>14</v>
      </c>
      <c r="C174" s="29" t="s">
        <v>131</v>
      </c>
      <c r="D174" s="3" t="s">
        <v>35</v>
      </c>
      <c r="E174" s="3" t="s">
        <v>36</v>
      </c>
      <c r="F174" s="12">
        <v>19715</v>
      </c>
      <c r="G174" s="12">
        <v>1014</v>
      </c>
      <c r="H174" s="12">
        <v>718</v>
      </c>
      <c r="I174" s="12">
        <v>1185</v>
      </c>
      <c r="J174" s="13">
        <v>37625</v>
      </c>
      <c r="K174" s="12">
        <v>191409</v>
      </c>
      <c r="L174" s="3" t="s">
        <v>33</v>
      </c>
      <c r="M174" s="30">
        <f>(F174 + G174 + H174 ) / K174</f>
        <v>0.11204802282024356</v>
      </c>
    </row>
    <row r="175" spans="1:13" ht="14.25" customHeight="1">
      <c r="A175" s="3" t="s">
        <v>324</v>
      </c>
      <c r="B175" s="3" t="s">
        <v>62</v>
      </c>
      <c r="C175" s="29" t="s">
        <v>181</v>
      </c>
      <c r="D175" s="3" t="s">
        <v>16</v>
      </c>
      <c r="E175" s="3" t="s">
        <v>23</v>
      </c>
      <c r="F175" s="12">
        <v>12040</v>
      </c>
      <c r="G175" s="12">
        <v>1147</v>
      </c>
      <c r="H175" s="12">
        <v>210</v>
      </c>
      <c r="I175" s="12">
        <v>885</v>
      </c>
      <c r="J175" s="13">
        <v>30360</v>
      </c>
      <c r="K175" s="12">
        <v>119530</v>
      </c>
      <c r="L175" s="3" t="s">
        <v>24</v>
      </c>
      <c r="M175" s="30">
        <f>(F175 + G175 + H175 ) / K175</f>
        <v>0.1120806492094035</v>
      </c>
    </row>
    <row r="176" spans="1:13" ht="14.25" customHeight="1">
      <c r="A176" s="3" t="s">
        <v>325</v>
      </c>
      <c r="B176" s="3" t="s">
        <v>20</v>
      </c>
      <c r="C176" s="29" t="s">
        <v>326</v>
      </c>
      <c r="D176" s="3" t="s">
        <v>31</v>
      </c>
      <c r="E176" s="3" t="s">
        <v>67</v>
      </c>
      <c r="F176" s="12">
        <v>15503</v>
      </c>
      <c r="G176" s="12">
        <v>313</v>
      </c>
      <c r="H176" s="12">
        <v>388</v>
      </c>
      <c r="I176" s="12">
        <v>1078</v>
      </c>
      <c r="J176" s="13">
        <v>11500</v>
      </c>
      <c r="K176" s="12">
        <v>143754</v>
      </c>
      <c r="L176" s="3" t="s">
        <v>24</v>
      </c>
      <c r="M176" s="30">
        <f>(F176 + G176 + H176 ) / K176</f>
        <v>0.1127203416948398</v>
      </c>
    </row>
    <row r="177" spans="1:13" ht="14.25" customHeight="1">
      <c r="A177" s="3" t="s">
        <v>327</v>
      </c>
      <c r="B177" s="3" t="s">
        <v>44</v>
      </c>
      <c r="C177" s="29">
        <v>45935</v>
      </c>
      <c r="D177" s="3" t="s">
        <v>35</v>
      </c>
      <c r="E177" s="3" t="s">
        <v>32</v>
      </c>
      <c r="F177" s="12">
        <v>21262</v>
      </c>
      <c r="G177" s="12">
        <v>861</v>
      </c>
      <c r="H177" s="12">
        <v>676</v>
      </c>
      <c r="I177" s="12">
        <v>2263</v>
      </c>
      <c r="J177" s="13">
        <v>12085</v>
      </c>
      <c r="K177" s="12">
        <v>201731</v>
      </c>
      <c r="L177" s="3" t="s">
        <v>37</v>
      </c>
      <c r="M177" s="30">
        <f>(F177 + G177 + H177 ) / K177</f>
        <v>0.11301683925623726</v>
      </c>
    </row>
    <row r="178" spans="1:13" ht="14.25" customHeight="1">
      <c r="A178" s="3" t="s">
        <v>328</v>
      </c>
      <c r="B178" s="3" t="s">
        <v>44</v>
      </c>
      <c r="C178" s="29" t="s">
        <v>329</v>
      </c>
      <c r="D178" s="3" t="s">
        <v>16</v>
      </c>
      <c r="E178" s="3" t="s">
        <v>40</v>
      </c>
      <c r="F178" s="12">
        <v>14647</v>
      </c>
      <c r="G178" s="12">
        <v>1168</v>
      </c>
      <c r="H178" s="12">
        <v>484</v>
      </c>
      <c r="I178" s="12">
        <v>2650</v>
      </c>
      <c r="J178" s="13">
        <v>27217</v>
      </c>
      <c r="K178" s="12">
        <v>144061</v>
      </c>
      <c r="L178" s="3" t="s">
        <v>24</v>
      </c>
      <c r="M178" s="30">
        <f>(F178 + G178 + H178 ) / K178</f>
        <v>0.11313957281984714</v>
      </c>
    </row>
    <row r="179" spans="1:13" ht="14.25" customHeight="1">
      <c r="A179" s="3" t="s">
        <v>330</v>
      </c>
      <c r="B179" s="3" t="s">
        <v>62</v>
      </c>
      <c r="C179" s="29" t="s">
        <v>314</v>
      </c>
      <c r="D179" s="3" t="s">
        <v>35</v>
      </c>
      <c r="E179" s="3" t="s">
        <v>67</v>
      </c>
      <c r="F179" s="12">
        <v>20017</v>
      </c>
      <c r="G179" s="12">
        <v>495</v>
      </c>
      <c r="H179" s="12">
        <v>178</v>
      </c>
      <c r="I179" s="12">
        <v>2683</v>
      </c>
      <c r="J179" s="13">
        <v>32244</v>
      </c>
      <c r="K179" s="12">
        <v>182633</v>
      </c>
      <c r="L179" s="3" t="s">
        <v>33</v>
      </c>
      <c r="M179" s="30">
        <f>(F179 + G179 + H179 ) / K179</f>
        <v>0.11328730295182141</v>
      </c>
    </row>
    <row r="180" spans="1:13" ht="14.25" customHeight="1">
      <c r="A180" s="3" t="s">
        <v>331</v>
      </c>
      <c r="B180" s="3" t="s">
        <v>20</v>
      </c>
      <c r="C180" s="29">
        <v>45936</v>
      </c>
      <c r="D180" s="3" t="s">
        <v>22</v>
      </c>
      <c r="E180" s="3" t="s">
        <v>60</v>
      </c>
      <c r="F180" s="12">
        <v>22028</v>
      </c>
      <c r="G180" s="12">
        <v>355</v>
      </c>
      <c r="H180" s="12">
        <v>665</v>
      </c>
      <c r="I180" s="12">
        <v>1859</v>
      </c>
      <c r="J180" s="13">
        <v>50565</v>
      </c>
      <c r="K180" s="12">
        <v>202962</v>
      </c>
      <c r="L180" s="3" t="s">
        <v>37</v>
      </c>
      <c r="M180" s="30">
        <f>(F180 + G180 + H180 ) / K180</f>
        <v>0.11355820301337197</v>
      </c>
    </row>
    <row r="181" spans="1:13" ht="14.25" customHeight="1">
      <c r="A181" s="3" t="s">
        <v>332</v>
      </c>
      <c r="B181" s="3" t="s">
        <v>14</v>
      </c>
      <c r="C181" s="29" t="s">
        <v>333</v>
      </c>
      <c r="D181" s="3" t="s">
        <v>22</v>
      </c>
      <c r="E181" s="3" t="s">
        <v>32</v>
      </c>
      <c r="F181" s="12">
        <v>21561</v>
      </c>
      <c r="G181" s="12">
        <v>340</v>
      </c>
      <c r="H181" s="12">
        <v>741</v>
      </c>
      <c r="I181" s="12">
        <v>986</v>
      </c>
      <c r="J181" s="13">
        <v>24826</v>
      </c>
      <c r="K181" s="12">
        <v>198492</v>
      </c>
      <c r="L181" s="3" t="s">
        <v>33</v>
      </c>
      <c r="M181" s="30">
        <f>(F181 + G181 + H181 ) / K181</f>
        <v>0.11407008846704149</v>
      </c>
    </row>
    <row r="182" spans="1:13" ht="14.25" customHeight="1">
      <c r="A182" s="3" t="s">
        <v>334</v>
      </c>
      <c r="B182" s="3" t="s">
        <v>14</v>
      </c>
      <c r="C182" s="29" t="s">
        <v>283</v>
      </c>
      <c r="D182" s="3" t="s">
        <v>31</v>
      </c>
      <c r="E182" s="3" t="s">
        <v>60</v>
      </c>
      <c r="F182" s="12">
        <v>15716</v>
      </c>
      <c r="G182" s="12">
        <v>839</v>
      </c>
      <c r="H182" s="12">
        <v>639</v>
      </c>
      <c r="I182" s="12">
        <v>2839</v>
      </c>
      <c r="J182" s="13">
        <v>349</v>
      </c>
      <c r="K182" s="12">
        <v>150677</v>
      </c>
      <c r="L182" s="3" t="s">
        <v>28</v>
      </c>
      <c r="M182" s="30">
        <f>(F182 + G182 + H182 ) / K182</f>
        <v>0.11411164278556117</v>
      </c>
    </row>
    <row r="183" spans="1:13" ht="14.25" customHeight="1">
      <c r="A183" s="3" t="s">
        <v>335</v>
      </c>
      <c r="B183" s="3" t="s">
        <v>62</v>
      </c>
      <c r="C183" s="29" t="s">
        <v>336</v>
      </c>
      <c r="D183" s="3" t="s">
        <v>35</v>
      </c>
      <c r="E183" s="3" t="s">
        <v>23</v>
      </c>
      <c r="F183" s="12">
        <v>23499</v>
      </c>
      <c r="G183" s="12">
        <v>562</v>
      </c>
      <c r="H183" s="12">
        <v>964</v>
      </c>
      <c r="I183" s="12">
        <v>2557</v>
      </c>
      <c r="J183" s="13">
        <v>56890</v>
      </c>
      <c r="K183" s="12">
        <v>218686</v>
      </c>
      <c r="L183" s="3" t="s">
        <v>24</v>
      </c>
      <c r="M183" s="30">
        <f>(F183 + G183 + H183 ) / K183</f>
        <v>0.11443347996671026</v>
      </c>
    </row>
    <row r="184" spans="1:13" ht="14.25" customHeight="1">
      <c r="A184" s="3" t="s">
        <v>337</v>
      </c>
      <c r="B184" s="3" t="s">
        <v>20</v>
      </c>
      <c r="C184" s="29" t="s">
        <v>222</v>
      </c>
      <c r="D184" s="3" t="s">
        <v>35</v>
      </c>
      <c r="E184" s="3" t="s">
        <v>46</v>
      </c>
      <c r="F184" s="12">
        <v>7342</v>
      </c>
      <c r="G184" s="12">
        <v>906</v>
      </c>
      <c r="H184" s="12">
        <v>902</v>
      </c>
      <c r="I184" s="12">
        <v>1199</v>
      </c>
      <c r="J184" s="13">
        <v>68488</v>
      </c>
      <c r="K184" s="12">
        <v>79310</v>
      </c>
      <c r="L184" s="3" t="s">
        <v>33</v>
      </c>
      <c r="M184" s="30">
        <f>(F184 + G184 + H184 ) / K184</f>
        <v>0.1153700668263775</v>
      </c>
    </row>
    <row r="185" spans="1:13" ht="14.25" customHeight="1">
      <c r="A185" s="3" t="s">
        <v>338</v>
      </c>
      <c r="B185" s="3" t="s">
        <v>44</v>
      </c>
      <c r="C185" s="29">
        <v>45922</v>
      </c>
      <c r="D185" s="3" t="s">
        <v>16</v>
      </c>
      <c r="E185" s="3" t="s">
        <v>88</v>
      </c>
      <c r="F185" s="12">
        <v>18509</v>
      </c>
      <c r="G185" s="12">
        <v>361</v>
      </c>
      <c r="H185" s="12">
        <v>578</v>
      </c>
      <c r="I185" s="12">
        <v>1409</v>
      </c>
      <c r="J185" s="13">
        <v>10569</v>
      </c>
      <c r="K185" s="12">
        <v>166969</v>
      </c>
      <c r="L185" s="3" t="s">
        <v>37</v>
      </c>
      <c r="M185" s="30">
        <f>(F185 + G185 + H185 ) / K185</f>
        <v>0.11647671124580011</v>
      </c>
    </row>
    <row r="186" spans="1:13" ht="14.25" customHeight="1">
      <c r="A186" s="3" t="s">
        <v>339</v>
      </c>
      <c r="B186" s="3" t="s">
        <v>44</v>
      </c>
      <c r="C186" s="29" t="s">
        <v>73</v>
      </c>
      <c r="D186" s="3" t="s">
        <v>31</v>
      </c>
      <c r="E186" s="3" t="s">
        <v>103</v>
      </c>
      <c r="F186" s="12">
        <v>12357</v>
      </c>
      <c r="G186" s="12">
        <v>716</v>
      </c>
      <c r="H186" s="12">
        <v>599</v>
      </c>
      <c r="I186" s="12">
        <v>999</v>
      </c>
      <c r="J186" s="13">
        <v>89591</v>
      </c>
      <c r="K186" s="12">
        <v>116367</v>
      </c>
      <c r="L186" s="3" t="s">
        <v>33</v>
      </c>
      <c r="M186" s="30">
        <f>(F186 + G186 + H186 ) / K186</f>
        <v>0.11749035379446063</v>
      </c>
    </row>
    <row r="187" spans="1:13" ht="14.25" customHeight="1">
      <c r="A187" s="3" t="s">
        <v>340</v>
      </c>
      <c r="B187" s="3" t="s">
        <v>62</v>
      </c>
      <c r="C187" s="29" t="s">
        <v>341</v>
      </c>
      <c r="D187" s="3" t="s">
        <v>22</v>
      </c>
      <c r="E187" s="3" t="s">
        <v>23</v>
      </c>
      <c r="F187" s="12">
        <v>21216</v>
      </c>
      <c r="G187" s="12">
        <v>1207</v>
      </c>
      <c r="H187" s="12">
        <v>859</v>
      </c>
      <c r="I187" s="12">
        <v>328</v>
      </c>
      <c r="J187" s="13">
        <v>91296</v>
      </c>
      <c r="K187" s="12">
        <v>196683</v>
      </c>
      <c r="L187" s="3" t="s">
        <v>28</v>
      </c>
      <c r="M187" s="30">
        <f>(F187 + G187 + H187 ) / K187</f>
        <v>0.1183732198512327</v>
      </c>
    </row>
    <row r="188" spans="1:13" ht="14.25" customHeight="1">
      <c r="A188" s="3" t="s">
        <v>342</v>
      </c>
      <c r="B188" s="3" t="s">
        <v>14</v>
      </c>
      <c r="C188" s="29" t="s">
        <v>343</v>
      </c>
      <c r="D188" s="3" t="s">
        <v>31</v>
      </c>
      <c r="E188" s="3" t="s">
        <v>32</v>
      </c>
      <c r="F188" s="12">
        <v>19844</v>
      </c>
      <c r="G188" s="12">
        <v>1022</v>
      </c>
      <c r="H188" s="12">
        <v>860</v>
      </c>
      <c r="I188" s="12">
        <v>2570</v>
      </c>
      <c r="J188" s="13">
        <v>23719</v>
      </c>
      <c r="K188" s="12">
        <v>182628</v>
      </c>
      <c r="L188" s="3" t="s">
        <v>28</v>
      </c>
      <c r="M188" s="30">
        <f>(F188 + G188 + H188 ) / K188</f>
        <v>0.11896313818253498</v>
      </c>
    </row>
    <row r="189" spans="1:13" ht="14.25" customHeight="1">
      <c r="A189" s="3" t="s">
        <v>344</v>
      </c>
      <c r="B189" s="3" t="s">
        <v>62</v>
      </c>
      <c r="C189" s="29" t="s">
        <v>345</v>
      </c>
      <c r="D189" s="3" t="s">
        <v>22</v>
      </c>
      <c r="E189" s="3" t="s">
        <v>60</v>
      </c>
      <c r="F189" s="12">
        <v>3761</v>
      </c>
      <c r="G189" s="12">
        <v>651</v>
      </c>
      <c r="H189" s="12">
        <v>493</v>
      </c>
      <c r="I189" s="12">
        <v>2294</v>
      </c>
      <c r="J189" s="13">
        <v>71696</v>
      </c>
      <c r="K189" s="12">
        <v>41177</v>
      </c>
      <c r="L189" s="3" t="s">
        <v>33</v>
      </c>
      <c r="M189" s="30">
        <f>(F189 + G189 + H189 ) / K189</f>
        <v>0.11911989702989532</v>
      </c>
    </row>
    <row r="190" spans="1:13" ht="14.25" customHeight="1">
      <c r="A190" s="3" t="s">
        <v>346</v>
      </c>
      <c r="B190" s="3" t="s">
        <v>62</v>
      </c>
      <c r="C190" s="29" t="s">
        <v>347</v>
      </c>
      <c r="D190" s="3" t="s">
        <v>35</v>
      </c>
      <c r="E190" s="3" t="s">
        <v>46</v>
      </c>
      <c r="F190" s="12">
        <v>12176</v>
      </c>
      <c r="G190" s="12">
        <v>1005</v>
      </c>
      <c r="H190" s="12">
        <v>862</v>
      </c>
      <c r="I190" s="12">
        <v>974</v>
      </c>
      <c r="J190" s="13">
        <v>2285</v>
      </c>
      <c r="K190" s="12">
        <v>116619</v>
      </c>
      <c r="L190" s="3" t="s">
        <v>24</v>
      </c>
      <c r="M190" s="30">
        <f>(F190 + G190 + H190 ) / K190</f>
        <v>0.12041777068916729</v>
      </c>
    </row>
    <row r="191" spans="1:13" ht="14.25" customHeight="1">
      <c r="A191" s="3" t="s">
        <v>348</v>
      </c>
      <c r="B191" s="3" t="s">
        <v>14</v>
      </c>
      <c r="C191" s="29">
        <v>45926</v>
      </c>
      <c r="D191" s="3" t="s">
        <v>16</v>
      </c>
      <c r="E191" s="3" t="s">
        <v>103</v>
      </c>
      <c r="F191" s="12">
        <v>16369</v>
      </c>
      <c r="G191" s="12">
        <v>1452</v>
      </c>
      <c r="H191" s="12">
        <v>493</v>
      </c>
      <c r="I191" s="12">
        <v>1217</v>
      </c>
      <c r="J191" s="13">
        <v>91440</v>
      </c>
      <c r="K191" s="12">
        <v>149834</v>
      </c>
      <c r="L191" s="3" t="s">
        <v>37</v>
      </c>
      <c r="M191" s="30">
        <f>(F191 + G191 + H191 ) / K191</f>
        <v>0.12222859965027964</v>
      </c>
    </row>
    <row r="192" spans="1:13" ht="14.25" customHeight="1">
      <c r="A192" s="3" t="s">
        <v>349</v>
      </c>
      <c r="B192" s="3" t="s">
        <v>62</v>
      </c>
      <c r="C192" s="29" t="s">
        <v>350</v>
      </c>
      <c r="D192" s="3" t="s">
        <v>16</v>
      </c>
      <c r="E192" s="3" t="s">
        <v>46</v>
      </c>
      <c r="F192" s="12">
        <v>24355</v>
      </c>
      <c r="G192" s="12">
        <v>1087</v>
      </c>
      <c r="H192" s="12">
        <v>686</v>
      </c>
      <c r="I192" s="12">
        <v>2426</v>
      </c>
      <c r="J192" s="13">
        <v>24963</v>
      </c>
      <c r="K192" s="12">
        <v>212307</v>
      </c>
      <c r="L192" s="3" t="s">
        <v>33</v>
      </c>
      <c r="M192" s="30">
        <f>(F192 + G192 + H192 ) / K192</f>
        <v>0.1230670679723231</v>
      </c>
    </row>
    <row r="193" spans="1:13" ht="14.25" customHeight="1">
      <c r="A193" s="3" t="s">
        <v>351</v>
      </c>
      <c r="B193" s="3" t="s">
        <v>20</v>
      </c>
      <c r="C193" s="29" t="s">
        <v>352</v>
      </c>
      <c r="D193" s="3" t="s">
        <v>22</v>
      </c>
      <c r="E193" s="3" t="s">
        <v>40</v>
      </c>
      <c r="F193" s="12">
        <v>24877</v>
      </c>
      <c r="G193" s="12">
        <v>262</v>
      </c>
      <c r="H193" s="12">
        <v>513</v>
      </c>
      <c r="I193" s="12">
        <v>648</v>
      </c>
      <c r="J193" s="13">
        <v>47544</v>
      </c>
      <c r="K193" s="12">
        <v>208280</v>
      </c>
      <c r="L193" s="3" t="s">
        <v>28</v>
      </c>
      <c r="M193" s="30">
        <f>(F193 + G193 + H193 ) / K193</f>
        <v>0.12316112924908777</v>
      </c>
    </row>
    <row r="194" spans="1:13" ht="14.25" customHeight="1">
      <c r="A194" s="3" t="s">
        <v>353</v>
      </c>
      <c r="B194" s="3" t="s">
        <v>14</v>
      </c>
      <c r="C194" s="29" t="s">
        <v>354</v>
      </c>
      <c r="D194" s="3" t="s">
        <v>16</v>
      </c>
      <c r="E194" s="3" t="s">
        <v>40</v>
      </c>
      <c r="F194" s="12">
        <v>8981</v>
      </c>
      <c r="G194" s="12">
        <v>1138</v>
      </c>
      <c r="H194" s="12">
        <v>764</v>
      </c>
      <c r="I194" s="12">
        <v>2555</v>
      </c>
      <c r="J194" s="13">
        <v>92810</v>
      </c>
      <c r="K194" s="12">
        <v>88320</v>
      </c>
      <c r="L194" s="3" t="s">
        <v>18</v>
      </c>
      <c r="M194" s="30">
        <f>(F194 + G194 + H194 ) / K194</f>
        <v>0.1232223731884058</v>
      </c>
    </row>
    <row r="195" spans="1:13" ht="14.25" customHeight="1">
      <c r="A195" s="3" t="s">
        <v>355</v>
      </c>
      <c r="B195" s="3" t="s">
        <v>44</v>
      </c>
      <c r="C195" s="29" t="s">
        <v>159</v>
      </c>
      <c r="D195" s="3" t="s">
        <v>16</v>
      </c>
      <c r="E195" s="3" t="s">
        <v>51</v>
      </c>
      <c r="F195" s="12">
        <v>20384</v>
      </c>
      <c r="G195" s="12">
        <v>344</v>
      </c>
      <c r="H195" s="12">
        <v>956</v>
      </c>
      <c r="I195" s="12">
        <v>655</v>
      </c>
      <c r="J195" s="13">
        <v>67621</v>
      </c>
      <c r="K195" s="12">
        <v>175720</v>
      </c>
      <c r="L195" s="3" t="s">
        <v>28</v>
      </c>
      <c r="M195" s="30">
        <f>(F195 + G195 + H195 ) / K195</f>
        <v>0.12340086501251991</v>
      </c>
    </row>
    <row r="196" spans="1:13" ht="14.25" customHeight="1">
      <c r="A196" s="3" t="s">
        <v>356</v>
      </c>
      <c r="B196" s="3" t="s">
        <v>14</v>
      </c>
      <c r="C196" s="29" t="s">
        <v>131</v>
      </c>
      <c r="D196" s="3" t="s">
        <v>31</v>
      </c>
      <c r="E196" s="3" t="s">
        <v>67</v>
      </c>
      <c r="F196" s="12">
        <v>20271</v>
      </c>
      <c r="G196" s="12">
        <v>512</v>
      </c>
      <c r="H196" s="12">
        <v>286</v>
      </c>
      <c r="I196" s="12">
        <v>1982</v>
      </c>
      <c r="J196" s="13">
        <v>43225</v>
      </c>
      <c r="K196" s="12">
        <v>168335</v>
      </c>
      <c r="L196" s="3" t="s">
        <v>24</v>
      </c>
      <c r="M196" s="30">
        <f>(F196 + G196 + H196 ) / K196</f>
        <v>0.12516113701844536</v>
      </c>
    </row>
    <row r="197" spans="1:13" ht="14.25" customHeight="1">
      <c r="A197" s="3" t="s">
        <v>357</v>
      </c>
      <c r="B197" s="3" t="s">
        <v>62</v>
      </c>
      <c r="C197" s="29" t="s">
        <v>358</v>
      </c>
      <c r="D197" s="3" t="s">
        <v>22</v>
      </c>
      <c r="E197" s="3" t="s">
        <v>60</v>
      </c>
      <c r="F197" s="12">
        <v>18608</v>
      </c>
      <c r="G197" s="12">
        <v>1338</v>
      </c>
      <c r="H197" s="12">
        <v>365</v>
      </c>
      <c r="I197" s="12">
        <v>2289</v>
      </c>
      <c r="J197" s="13">
        <v>20785</v>
      </c>
      <c r="K197" s="12">
        <v>161999</v>
      </c>
      <c r="L197" s="3" t="s">
        <v>33</v>
      </c>
      <c r="M197" s="30">
        <f>(F197 + G197 + H197 ) / K197</f>
        <v>0.12537731714393299</v>
      </c>
    </row>
    <row r="198" spans="1:13" ht="14.25" customHeight="1">
      <c r="A198" s="3" t="s">
        <v>359</v>
      </c>
      <c r="B198" s="3" t="s">
        <v>14</v>
      </c>
      <c r="C198" s="29" t="s">
        <v>360</v>
      </c>
      <c r="D198" s="3" t="s">
        <v>22</v>
      </c>
      <c r="E198" s="3" t="s">
        <v>67</v>
      </c>
      <c r="F198" s="12">
        <v>23168</v>
      </c>
      <c r="G198" s="12">
        <v>1265</v>
      </c>
      <c r="H198" s="12">
        <v>441</v>
      </c>
      <c r="I198" s="12">
        <v>1612</v>
      </c>
      <c r="J198" s="13">
        <v>66615</v>
      </c>
      <c r="K198" s="12">
        <v>197795</v>
      </c>
      <c r="L198" s="3" t="s">
        <v>24</v>
      </c>
      <c r="M198" s="30">
        <f>(F198 + G198 + H198 ) / K198</f>
        <v>0.12575646502692181</v>
      </c>
    </row>
    <row r="199" spans="1:13" ht="14.25" customHeight="1">
      <c r="A199" s="3" t="s">
        <v>361</v>
      </c>
      <c r="B199" s="3" t="s">
        <v>14</v>
      </c>
      <c r="C199" s="29">
        <v>45923</v>
      </c>
      <c r="D199" s="3" t="s">
        <v>35</v>
      </c>
      <c r="E199" s="3" t="s">
        <v>17</v>
      </c>
      <c r="F199" s="12">
        <v>17147</v>
      </c>
      <c r="G199" s="12">
        <v>286</v>
      </c>
      <c r="H199" s="12">
        <v>291</v>
      </c>
      <c r="I199" s="12">
        <v>2439</v>
      </c>
      <c r="J199" s="13">
        <v>45631</v>
      </c>
      <c r="K199" s="12">
        <v>140494</v>
      </c>
      <c r="L199" s="3" t="s">
        <v>37</v>
      </c>
      <c r="M199" s="30">
        <f>(F199 + G199 + H199 ) / K199</f>
        <v>0.12615485358805359</v>
      </c>
    </row>
    <row r="200" spans="1:13" ht="14.25" customHeight="1">
      <c r="A200" s="3" t="s">
        <v>362</v>
      </c>
      <c r="B200" s="3" t="s">
        <v>20</v>
      </c>
      <c r="C200" s="29" t="s">
        <v>15</v>
      </c>
      <c r="D200" s="3" t="s">
        <v>16</v>
      </c>
      <c r="E200" s="3" t="s">
        <v>67</v>
      </c>
      <c r="F200" s="12">
        <v>19055</v>
      </c>
      <c r="G200" s="12">
        <v>443</v>
      </c>
      <c r="H200" s="12">
        <v>976</v>
      </c>
      <c r="I200" s="12">
        <v>869</v>
      </c>
      <c r="J200" s="13">
        <v>75437</v>
      </c>
      <c r="K200" s="12">
        <v>161863</v>
      </c>
      <c r="L200" s="3" t="s">
        <v>28</v>
      </c>
      <c r="M200" s="30">
        <f>(F200 + G200 + H200 ) / K200</f>
        <v>0.12648968572187591</v>
      </c>
    </row>
    <row r="201" spans="1:13" ht="14.25" customHeight="1">
      <c r="A201" s="3" t="s">
        <v>363</v>
      </c>
      <c r="B201" s="3" t="s">
        <v>20</v>
      </c>
      <c r="C201" s="29" t="s">
        <v>283</v>
      </c>
      <c r="D201" s="3" t="s">
        <v>22</v>
      </c>
      <c r="E201" s="3" t="s">
        <v>32</v>
      </c>
      <c r="F201" s="12">
        <v>5086</v>
      </c>
      <c r="G201" s="12">
        <v>1336</v>
      </c>
      <c r="H201" s="12">
        <v>897</v>
      </c>
      <c r="I201" s="12">
        <v>1715</v>
      </c>
      <c r="J201" s="13">
        <v>60592</v>
      </c>
      <c r="K201" s="12">
        <v>57772</v>
      </c>
      <c r="L201" s="3" t="s">
        <v>28</v>
      </c>
      <c r="M201" s="30">
        <f>(F201 + G201 + H201 ) / K201</f>
        <v>0.12668766876687668</v>
      </c>
    </row>
    <row r="202" spans="1:13" ht="14.25" customHeight="1">
      <c r="A202" s="3" t="s">
        <v>364</v>
      </c>
      <c r="B202" s="3" t="s">
        <v>44</v>
      </c>
      <c r="C202" s="29" t="s">
        <v>365</v>
      </c>
      <c r="D202" s="3" t="s">
        <v>16</v>
      </c>
      <c r="E202" s="3" t="s">
        <v>60</v>
      </c>
      <c r="F202" s="12">
        <v>23508</v>
      </c>
      <c r="G202" s="12">
        <v>585</v>
      </c>
      <c r="H202" s="12">
        <v>743</v>
      </c>
      <c r="I202" s="12">
        <v>2155</v>
      </c>
      <c r="J202" s="13">
        <v>3704</v>
      </c>
      <c r="K202" s="12">
        <v>194268</v>
      </c>
      <c r="L202" s="3" t="s">
        <v>24</v>
      </c>
      <c r="M202" s="30">
        <f>(F202 + G202 + H202 ) / K202</f>
        <v>0.1278440093067309</v>
      </c>
    </row>
    <row r="203" spans="1:13" ht="14.25" customHeight="1">
      <c r="A203" s="3" t="s">
        <v>366</v>
      </c>
      <c r="B203" s="3" t="s">
        <v>20</v>
      </c>
      <c r="C203" s="29" t="s">
        <v>367</v>
      </c>
      <c r="D203" s="3" t="s">
        <v>31</v>
      </c>
      <c r="E203" s="3" t="s">
        <v>17</v>
      </c>
      <c r="F203" s="12">
        <v>23949</v>
      </c>
      <c r="G203" s="12">
        <v>356</v>
      </c>
      <c r="H203" s="12">
        <v>616</v>
      </c>
      <c r="I203" s="12">
        <v>1847</v>
      </c>
      <c r="J203" s="13">
        <v>3144</v>
      </c>
      <c r="K203" s="12">
        <v>192999</v>
      </c>
      <c r="L203" s="3" t="s">
        <v>24</v>
      </c>
      <c r="M203" s="30">
        <f>(F203 + G203 + H203 ) / K203</f>
        <v>0.12912502137316773</v>
      </c>
    </row>
    <row r="204" spans="1:13" ht="14.25" customHeight="1">
      <c r="A204" s="3" t="s">
        <v>368</v>
      </c>
      <c r="B204" s="3" t="s">
        <v>14</v>
      </c>
      <c r="C204" s="29" t="s">
        <v>369</v>
      </c>
      <c r="D204" s="3" t="s">
        <v>31</v>
      </c>
      <c r="E204" s="3" t="s">
        <v>36</v>
      </c>
      <c r="F204" s="12">
        <v>15051</v>
      </c>
      <c r="G204" s="12">
        <v>268</v>
      </c>
      <c r="H204" s="12">
        <v>251</v>
      </c>
      <c r="I204" s="12">
        <v>783</v>
      </c>
      <c r="J204" s="13">
        <v>34154</v>
      </c>
      <c r="K204" s="12">
        <v>119671</v>
      </c>
      <c r="L204" s="3" t="s">
        <v>24</v>
      </c>
      <c r="M204" s="30">
        <f>(F204 + G204 + H204 ) / K204</f>
        <v>0.13010670922779954</v>
      </c>
    </row>
    <row r="205" spans="1:13" ht="14.25" customHeight="1">
      <c r="A205" s="3" t="s">
        <v>370</v>
      </c>
      <c r="B205" s="3" t="s">
        <v>20</v>
      </c>
      <c r="C205" s="29" t="s">
        <v>297</v>
      </c>
      <c r="D205" s="3" t="s">
        <v>31</v>
      </c>
      <c r="E205" s="3" t="s">
        <v>103</v>
      </c>
      <c r="F205" s="12">
        <v>24516</v>
      </c>
      <c r="G205" s="12">
        <v>976</v>
      </c>
      <c r="H205" s="12">
        <v>974</v>
      </c>
      <c r="I205" s="12">
        <v>2675</v>
      </c>
      <c r="J205" s="13">
        <v>23275</v>
      </c>
      <c r="K205" s="12">
        <v>202932</v>
      </c>
      <c r="L205" s="3" t="s">
        <v>33</v>
      </c>
      <c r="M205" s="30">
        <f>(F205 + G205 + H205 ) / K205</f>
        <v>0.13041807107799658</v>
      </c>
    </row>
    <row r="206" spans="1:13" ht="14.25" customHeight="1">
      <c r="A206" s="3" t="s">
        <v>371</v>
      </c>
      <c r="B206" s="3" t="s">
        <v>62</v>
      </c>
      <c r="C206" s="29" t="s">
        <v>372</v>
      </c>
      <c r="D206" s="3" t="s">
        <v>16</v>
      </c>
      <c r="E206" s="3" t="s">
        <v>40</v>
      </c>
      <c r="F206" s="12">
        <v>20444</v>
      </c>
      <c r="G206" s="12">
        <v>233</v>
      </c>
      <c r="H206" s="12">
        <v>189</v>
      </c>
      <c r="I206" s="12">
        <v>2879</v>
      </c>
      <c r="J206" s="13">
        <v>28185</v>
      </c>
      <c r="K206" s="12">
        <v>159891</v>
      </c>
      <c r="L206" s="3" t="s">
        <v>24</v>
      </c>
      <c r="M206" s="30">
        <f>(F206 + G206 + H206 ) / K206</f>
        <v>0.13050140408153055</v>
      </c>
    </row>
    <row r="207" spans="1:13" ht="14.25" customHeight="1">
      <c r="A207" s="3" t="s">
        <v>373</v>
      </c>
      <c r="B207" s="3" t="s">
        <v>44</v>
      </c>
      <c r="C207" s="29">
        <v>45925</v>
      </c>
      <c r="D207" s="3" t="s">
        <v>31</v>
      </c>
      <c r="E207" s="3" t="s">
        <v>88</v>
      </c>
      <c r="F207" s="12">
        <v>20564</v>
      </c>
      <c r="G207" s="12">
        <v>1433</v>
      </c>
      <c r="H207" s="12">
        <v>488</v>
      </c>
      <c r="I207" s="12">
        <v>1015</v>
      </c>
      <c r="J207" s="13">
        <v>24333</v>
      </c>
      <c r="K207" s="12">
        <v>172130</v>
      </c>
      <c r="L207" s="3" t="s">
        <v>37</v>
      </c>
      <c r="M207" s="30">
        <f>(F207 + G207 + H207 ) / K207</f>
        <v>0.13062801371056759</v>
      </c>
    </row>
    <row r="208" spans="1:13" ht="14.25" customHeight="1">
      <c r="A208" s="3" t="s">
        <v>374</v>
      </c>
      <c r="B208" s="3" t="s">
        <v>44</v>
      </c>
      <c r="C208" s="29" t="s">
        <v>76</v>
      </c>
      <c r="D208" s="3" t="s">
        <v>16</v>
      </c>
      <c r="E208" s="3" t="s">
        <v>32</v>
      </c>
      <c r="F208" s="12">
        <v>7713</v>
      </c>
      <c r="G208" s="12">
        <v>575</v>
      </c>
      <c r="H208" s="12">
        <v>417</v>
      </c>
      <c r="I208" s="12">
        <v>336</v>
      </c>
      <c r="J208" s="13">
        <v>23275</v>
      </c>
      <c r="K208" s="12">
        <v>66017</v>
      </c>
      <c r="L208" s="3" t="s">
        <v>24</v>
      </c>
      <c r="M208" s="30">
        <f>(F208 + G208 + H208 ) / K208</f>
        <v>0.13185997546086614</v>
      </c>
    </row>
    <row r="209" spans="1:13" ht="14.25" customHeight="1">
      <c r="A209" s="3" t="s">
        <v>375</v>
      </c>
      <c r="B209" s="3" t="s">
        <v>20</v>
      </c>
      <c r="C209" s="29" t="s">
        <v>376</v>
      </c>
      <c r="D209" s="3" t="s">
        <v>16</v>
      </c>
      <c r="E209" s="3" t="s">
        <v>67</v>
      </c>
      <c r="F209" s="12">
        <v>15703</v>
      </c>
      <c r="G209" s="12">
        <v>1381</v>
      </c>
      <c r="H209" s="12">
        <v>639</v>
      </c>
      <c r="I209" s="12">
        <v>984</v>
      </c>
      <c r="J209" s="13">
        <v>10967</v>
      </c>
      <c r="K209" s="12">
        <v>133747</v>
      </c>
      <c r="L209" s="3" t="s">
        <v>18</v>
      </c>
      <c r="M209" s="30">
        <f>(F209 + G209 + H209 ) / K209</f>
        <v>0.13251138343289942</v>
      </c>
    </row>
    <row r="210" spans="1:13" ht="14.25" customHeight="1">
      <c r="A210" s="3" t="s">
        <v>377</v>
      </c>
      <c r="B210" s="3" t="s">
        <v>62</v>
      </c>
      <c r="C210" s="29" t="s">
        <v>231</v>
      </c>
      <c r="D210" s="3" t="s">
        <v>16</v>
      </c>
      <c r="E210" s="3" t="s">
        <v>17</v>
      </c>
      <c r="F210" s="12">
        <v>24928</v>
      </c>
      <c r="G210" s="12">
        <v>214</v>
      </c>
      <c r="H210" s="12">
        <v>765</v>
      </c>
      <c r="I210" s="12">
        <v>1556</v>
      </c>
      <c r="J210" s="13">
        <v>5239</v>
      </c>
      <c r="K210" s="12">
        <v>194571</v>
      </c>
      <c r="L210" s="3" t="s">
        <v>18</v>
      </c>
      <c r="M210" s="30">
        <f>(F210 + G210 + H210 ) / K210</f>
        <v>0.13314933880177415</v>
      </c>
    </row>
    <row r="211" spans="1:13" ht="14.25" customHeight="1">
      <c r="A211" s="3" t="s">
        <v>378</v>
      </c>
      <c r="B211" s="3" t="s">
        <v>20</v>
      </c>
      <c r="C211" s="29" t="s">
        <v>131</v>
      </c>
      <c r="D211" s="3" t="s">
        <v>35</v>
      </c>
      <c r="E211" s="3" t="s">
        <v>67</v>
      </c>
      <c r="F211" s="12">
        <v>20777</v>
      </c>
      <c r="G211" s="12">
        <v>962</v>
      </c>
      <c r="H211" s="12">
        <v>308</v>
      </c>
      <c r="I211" s="12">
        <v>2777</v>
      </c>
      <c r="J211" s="13">
        <v>25529</v>
      </c>
      <c r="K211" s="12">
        <v>165354</v>
      </c>
      <c r="L211" s="3" t="s">
        <v>33</v>
      </c>
      <c r="M211" s="30">
        <f>(F211 + G211 + H211 ) / K211</f>
        <v>0.13333212380710477</v>
      </c>
    </row>
    <row r="212" spans="1:13" ht="14.25" customHeight="1">
      <c r="A212" s="3" t="s">
        <v>379</v>
      </c>
      <c r="B212" s="3" t="s">
        <v>44</v>
      </c>
      <c r="C212" s="29" t="s">
        <v>107</v>
      </c>
      <c r="D212" s="3" t="s">
        <v>35</v>
      </c>
      <c r="E212" s="3" t="s">
        <v>46</v>
      </c>
      <c r="F212" s="12">
        <v>9239</v>
      </c>
      <c r="G212" s="12">
        <v>1477</v>
      </c>
      <c r="H212" s="12">
        <v>631</v>
      </c>
      <c r="I212" s="12">
        <v>1556</v>
      </c>
      <c r="J212" s="13">
        <v>11580</v>
      </c>
      <c r="K212" s="12">
        <v>84738</v>
      </c>
      <c r="L212" s="3" t="s">
        <v>28</v>
      </c>
      <c r="M212" s="30">
        <f>(F212 + G212 + H212 ) / K212</f>
        <v>0.13390686586891359</v>
      </c>
    </row>
    <row r="213" spans="1:13" ht="14.25" customHeight="1">
      <c r="A213" s="3" t="s">
        <v>380</v>
      </c>
      <c r="B213" s="3" t="s">
        <v>20</v>
      </c>
      <c r="C213" s="29" t="s">
        <v>381</v>
      </c>
      <c r="D213" s="3" t="s">
        <v>31</v>
      </c>
      <c r="E213" s="3" t="s">
        <v>36</v>
      </c>
      <c r="F213" s="12">
        <v>19022</v>
      </c>
      <c r="G213" s="12">
        <v>541</v>
      </c>
      <c r="H213" s="12">
        <v>575</v>
      </c>
      <c r="I213" s="12">
        <v>2063</v>
      </c>
      <c r="J213" s="13">
        <v>42743</v>
      </c>
      <c r="K213" s="12">
        <v>150169</v>
      </c>
      <c r="L213" s="3" t="s">
        <v>33</v>
      </c>
      <c r="M213" s="30">
        <f>(F213 + G213 + H213 ) / K213</f>
        <v>0.13410224480418728</v>
      </c>
    </row>
    <row r="214" spans="1:13" ht="14.25" customHeight="1">
      <c r="A214" s="3" t="s">
        <v>382</v>
      </c>
      <c r="B214" s="3" t="s">
        <v>44</v>
      </c>
      <c r="C214" s="29">
        <v>45913</v>
      </c>
      <c r="D214" s="3" t="s">
        <v>16</v>
      </c>
      <c r="E214" s="3" t="s">
        <v>32</v>
      </c>
      <c r="F214" s="12">
        <v>17106</v>
      </c>
      <c r="G214" s="12">
        <v>702</v>
      </c>
      <c r="H214" s="12">
        <v>459</v>
      </c>
      <c r="I214" s="12">
        <v>999</v>
      </c>
      <c r="J214" s="13">
        <v>59627</v>
      </c>
      <c r="K214" s="12">
        <v>136059</v>
      </c>
      <c r="L214" s="3" t="s">
        <v>37</v>
      </c>
      <c r="M214" s="30">
        <f>(F214 + G214 + H214 ) / K214</f>
        <v>0.13425793222058077</v>
      </c>
    </row>
    <row r="215" spans="1:13" ht="14.25" customHeight="1">
      <c r="A215" s="3" t="s">
        <v>383</v>
      </c>
      <c r="B215" s="3" t="s">
        <v>44</v>
      </c>
      <c r="C215" s="29" t="s">
        <v>384</v>
      </c>
      <c r="D215" s="3" t="s">
        <v>35</v>
      </c>
      <c r="E215" s="3" t="s">
        <v>36</v>
      </c>
      <c r="F215" s="12">
        <v>24625</v>
      </c>
      <c r="G215" s="12">
        <v>749</v>
      </c>
      <c r="H215" s="12">
        <v>193</v>
      </c>
      <c r="I215" s="12">
        <v>1340</v>
      </c>
      <c r="J215" s="13">
        <v>4890</v>
      </c>
      <c r="K215" s="12">
        <v>189381</v>
      </c>
      <c r="L215" s="3" t="s">
        <v>33</v>
      </c>
      <c r="M215" s="30">
        <f>(F215 + G215 + H215 ) / K215</f>
        <v>0.13500298340382616</v>
      </c>
    </row>
    <row r="216" spans="1:13" ht="14.25" customHeight="1">
      <c r="A216" s="3" t="s">
        <v>385</v>
      </c>
      <c r="B216" s="3" t="s">
        <v>20</v>
      </c>
      <c r="C216" s="29">
        <v>45943</v>
      </c>
      <c r="D216" s="3" t="s">
        <v>22</v>
      </c>
      <c r="E216" s="3" t="s">
        <v>17</v>
      </c>
      <c r="F216" s="12">
        <v>19302</v>
      </c>
      <c r="G216" s="12">
        <v>1367</v>
      </c>
      <c r="H216" s="12">
        <v>188</v>
      </c>
      <c r="I216" s="12">
        <v>637</v>
      </c>
      <c r="J216" s="13">
        <v>31404</v>
      </c>
      <c r="K216" s="12">
        <v>154044</v>
      </c>
      <c r="L216" s="3" t="s">
        <v>37</v>
      </c>
      <c r="M216" s="30">
        <f>(F216 + G216 + H216 ) / K216</f>
        <v>0.13539638025499209</v>
      </c>
    </row>
    <row r="217" spans="1:13" ht="14.25" customHeight="1">
      <c r="A217" s="3" t="s">
        <v>386</v>
      </c>
      <c r="B217" s="3" t="s">
        <v>20</v>
      </c>
      <c r="C217" s="29" t="s">
        <v>387</v>
      </c>
      <c r="D217" s="3" t="s">
        <v>31</v>
      </c>
      <c r="E217" s="3" t="s">
        <v>46</v>
      </c>
      <c r="F217" s="12">
        <v>8229</v>
      </c>
      <c r="G217" s="12">
        <v>977</v>
      </c>
      <c r="H217" s="12">
        <v>152</v>
      </c>
      <c r="I217" s="12">
        <v>1633</v>
      </c>
      <c r="J217" s="13">
        <v>71447</v>
      </c>
      <c r="K217" s="12">
        <v>67723</v>
      </c>
      <c r="L217" s="3" t="s">
        <v>18</v>
      </c>
      <c r="M217" s="30">
        <f>(F217 + G217 + H217 ) / K217</f>
        <v>0.13818052950991538</v>
      </c>
    </row>
    <row r="218" spans="1:13" ht="14.25" customHeight="1">
      <c r="A218" s="3" t="s">
        <v>388</v>
      </c>
      <c r="B218" s="3" t="s">
        <v>14</v>
      </c>
      <c r="C218" s="29" t="s">
        <v>365</v>
      </c>
      <c r="D218" s="3" t="s">
        <v>22</v>
      </c>
      <c r="E218" s="3" t="s">
        <v>46</v>
      </c>
      <c r="F218" s="12">
        <v>19461</v>
      </c>
      <c r="G218" s="12">
        <v>1382</v>
      </c>
      <c r="H218" s="12">
        <v>445</v>
      </c>
      <c r="I218" s="12">
        <v>1307</v>
      </c>
      <c r="J218" s="13">
        <v>84691</v>
      </c>
      <c r="K218" s="12">
        <v>151453</v>
      </c>
      <c r="L218" s="3" t="s">
        <v>24</v>
      </c>
      <c r="M218" s="30">
        <f>(F218 + G218 + H218 ) / K218</f>
        <v>0.14055845707909384</v>
      </c>
    </row>
    <row r="219" spans="1:13" ht="14.25" customHeight="1">
      <c r="A219" s="3" t="s">
        <v>389</v>
      </c>
      <c r="B219" s="3" t="s">
        <v>14</v>
      </c>
      <c r="C219" s="29">
        <v>45907</v>
      </c>
      <c r="D219" s="3" t="s">
        <v>35</v>
      </c>
      <c r="E219" s="3" t="s">
        <v>27</v>
      </c>
      <c r="F219" s="12">
        <v>4472</v>
      </c>
      <c r="G219" s="12">
        <v>1301</v>
      </c>
      <c r="H219" s="12">
        <v>956</v>
      </c>
      <c r="I219" s="12">
        <v>1186</v>
      </c>
      <c r="J219" s="13">
        <v>3363</v>
      </c>
      <c r="K219" s="12">
        <v>46471</v>
      </c>
      <c r="L219" s="3" t="s">
        <v>37</v>
      </c>
      <c r="M219" s="30">
        <f>(F219 + G219 + H219 ) / K219</f>
        <v>0.14479998278496267</v>
      </c>
    </row>
    <row r="220" spans="1:13" ht="14.25" customHeight="1">
      <c r="A220" s="3" t="s">
        <v>390</v>
      </c>
      <c r="B220" s="3" t="s">
        <v>14</v>
      </c>
      <c r="C220" s="29" t="s">
        <v>391</v>
      </c>
      <c r="D220" s="3" t="s">
        <v>16</v>
      </c>
      <c r="E220" s="3" t="s">
        <v>46</v>
      </c>
      <c r="F220" s="12">
        <v>16277</v>
      </c>
      <c r="G220" s="12">
        <v>1109</v>
      </c>
      <c r="H220" s="12">
        <v>375</v>
      </c>
      <c r="I220" s="12">
        <v>2225</v>
      </c>
      <c r="J220" s="13">
        <v>1044</v>
      </c>
      <c r="K220" s="12">
        <v>121889</v>
      </c>
      <c r="L220" s="3" t="s">
        <v>24</v>
      </c>
      <c r="M220" s="30">
        <f>(F220 + G220 + H220 ) / K220</f>
        <v>0.14571454356012437</v>
      </c>
    </row>
    <row r="221" spans="1:13" ht="14.25" customHeight="1">
      <c r="A221" s="3" t="s">
        <v>392</v>
      </c>
      <c r="B221" s="3" t="s">
        <v>44</v>
      </c>
      <c r="C221" s="29" t="s">
        <v>393</v>
      </c>
      <c r="D221" s="3" t="s">
        <v>31</v>
      </c>
      <c r="E221" s="3" t="s">
        <v>103</v>
      </c>
      <c r="F221" s="12">
        <v>12453</v>
      </c>
      <c r="G221" s="12">
        <v>376</v>
      </c>
      <c r="H221" s="12">
        <v>320</v>
      </c>
      <c r="I221" s="12">
        <v>2546</v>
      </c>
      <c r="J221" s="13">
        <v>22617</v>
      </c>
      <c r="K221" s="12">
        <v>90138</v>
      </c>
      <c r="L221" s="3" t="s">
        <v>28</v>
      </c>
      <c r="M221" s="30">
        <f>(F221 + G221 + H221 ) / K221</f>
        <v>0.14587632297144379</v>
      </c>
    </row>
    <row r="222" spans="1:13" ht="14.25" customHeight="1">
      <c r="A222" s="3" t="s">
        <v>394</v>
      </c>
      <c r="B222" s="3" t="s">
        <v>20</v>
      </c>
      <c r="C222" s="29">
        <v>45912</v>
      </c>
      <c r="D222" s="3" t="s">
        <v>22</v>
      </c>
      <c r="E222" s="3" t="s">
        <v>32</v>
      </c>
      <c r="F222" s="12">
        <v>15918</v>
      </c>
      <c r="G222" s="12">
        <v>1114</v>
      </c>
      <c r="H222" s="12">
        <v>392</v>
      </c>
      <c r="I222" s="12">
        <v>1641</v>
      </c>
      <c r="J222" s="13">
        <v>28044</v>
      </c>
      <c r="K222" s="12">
        <v>118714</v>
      </c>
      <c r="L222" s="3" t="s">
        <v>37</v>
      </c>
      <c r="M222" s="30">
        <f>(F222 + G222 + H222 ) / K222</f>
        <v>0.14677291642097814</v>
      </c>
    </row>
    <row r="223" spans="1:13" ht="14.25" customHeight="1">
      <c r="A223" s="3" t="s">
        <v>395</v>
      </c>
      <c r="B223" s="3" t="s">
        <v>14</v>
      </c>
      <c r="C223" s="29" t="s">
        <v>396</v>
      </c>
      <c r="D223" s="3" t="s">
        <v>31</v>
      </c>
      <c r="E223" s="3" t="s">
        <v>60</v>
      </c>
      <c r="F223" s="12">
        <v>24711</v>
      </c>
      <c r="G223" s="12">
        <v>882</v>
      </c>
      <c r="H223" s="12">
        <v>876</v>
      </c>
      <c r="I223" s="12">
        <v>2728</v>
      </c>
      <c r="J223" s="13">
        <v>32015</v>
      </c>
      <c r="K223" s="12">
        <v>180272</v>
      </c>
      <c r="L223" s="3" t="s">
        <v>24</v>
      </c>
      <c r="M223" s="30">
        <f>(F223 + G223 + H223 ) / K223</f>
        <v>0.1468281263867933</v>
      </c>
    </row>
    <row r="224" spans="1:13" ht="14.25" customHeight="1">
      <c r="A224" s="3" t="s">
        <v>397</v>
      </c>
      <c r="B224" s="3" t="s">
        <v>44</v>
      </c>
      <c r="C224" s="29">
        <v>45914</v>
      </c>
      <c r="D224" s="3" t="s">
        <v>16</v>
      </c>
      <c r="E224" s="3" t="s">
        <v>17</v>
      </c>
      <c r="F224" s="12">
        <v>12787</v>
      </c>
      <c r="G224" s="12">
        <v>945</v>
      </c>
      <c r="H224" s="12">
        <v>974</v>
      </c>
      <c r="I224" s="12">
        <v>1407</v>
      </c>
      <c r="J224" s="13">
        <v>4037</v>
      </c>
      <c r="K224" s="12">
        <v>99182</v>
      </c>
      <c r="L224" s="3" t="s">
        <v>37</v>
      </c>
      <c r="M224" s="30">
        <f>(F224 + G224 + H224 ) / K224</f>
        <v>0.14827287209372669</v>
      </c>
    </row>
    <row r="225" spans="1:13" ht="14.25" customHeight="1">
      <c r="A225" s="3" t="s">
        <v>398</v>
      </c>
      <c r="B225" s="3" t="s">
        <v>14</v>
      </c>
      <c r="C225" s="29">
        <v>45928</v>
      </c>
      <c r="D225" s="3" t="s">
        <v>16</v>
      </c>
      <c r="E225" s="3" t="s">
        <v>46</v>
      </c>
      <c r="F225" s="12">
        <v>21963</v>
      </c>
      <c r="G225" s="12">
        <v>1356</v>
      </c>
      <c r="H225" s="12">
        <v>349</v>
      </c>
      <c r="I225" s="12">
        <v>1206</v>
      </c>
      <c r="J225" s="13">
        <v>51755</v>
      </c>
      <c r="K225" s="12">
        <v>159273</v>
      </c>
      <c r="L225" s="3" t="s">
        <v>37</v>
      </c>
      <c r="M225" s="30">
        <f>(F225 + G225 + H225 ) / K225</f>
        <v>0.14860020216860359</v>
      </c>
    </row>
    <row r="226" spans="1:13" ht="14.25" customHeight="1">
      <c r="A226" s="3" t="s">
        <v>399</v>
      </c>
      <c r="B226" s="3" t="s">
        <v>44</v>
      </c>
      <c r="C226" s="29" t="s">
        <v>400</v>
      </c>
      <c r="D226" s="3" t="s">
        <v>35</v>
      </c>
      <c r="E226" s="3" t="s">
        <v>40</v>
      </c>
      <c r="F226" s="12">
        <v>12954</v>
      </c>
      <c r="G226" s="12">
        <v>913</v>
      </c>
      <c r="H226" s="12">
        <v>722</v>
      </c>
      <c r="I226" s="12">
        <v>1049</v>
      </c>
      <c r="J226" s="13">
        <v>475</v>
      </c>
      <c r="K226" s="12">
        <v>97716</v>
      </c>
      <c r="L226" s="3" t="s">
        <v>33</v>
      </c>
      <c r="M226" s="30">
        <f>(F226 + G226 + H226 ) / K226</f>
        <v>0.14930001228048631</v>
      </c>
    </row>
    <row r="227" spans="1:13" ht="14.25" customHeight="1">
      <c r="A227" s="3" t="s">
        <v>401</v>
      </c>
      <c r="B227" s="3" t="s">
        <v>14</v>
      </c>
      <c r="C227" s="29" t="s">
        <v>142</v>
      </c>
      <c r="D227" s="3" t="s">
        <v>16</v>
      </c>
      <c r="E227" s="3" t="s">
        <v>67</v>
      </c>
      <c r="F227" s="12">
        <v>13470</v>
      </c>
      <c r="G227" s="12">
        <v>523</v>
      </c>
      <c r="H227" s="12">
        <v>280</v>
      </c>
      <c r="I227" s="12">
        <v>2682</v>
      </c>
      <c r="J227" s="13">
        <v>8538</v>
      </c>
      <c r="K227" s="12">
        <v>95204</v>
      </c>
      <c r="L227" s="3" t="s">
        <v>33</v>
      </c>
      <c r="M227" s="30">
        <f>(F227 + G227 + H227 ) / K227</f>
        <v>0.14992017142136885</v>
      </c>
    </row>
    <row r="228" spans="1:13" ht="14.25" customHeight="1">
      <c r="A228" s="3" t="s">
        <v>402</v>
      </c>
      <c r="B228" s="3" t="s">
        <v>20</v>
      </c>
      <c r="C228" s="29">
        <v>45914</v>
      </c>
      <c r="D228" s="3" t="s">
        <v>16</v>
      </c>
      <c r="E228" s="3" t="s">
        <v>46</v>
      </c>
      <c r="F228" s="12">
        <v>19844</v>
      </c>
      <c r="G228" s="12">
        <v>1020</v>
      </c>
      <c r="H228" s="12">
        <v>247</v>
      </c>
      <c r="I228" s="12">
        <v>2354</v>
      </c>
      <c r="J228" s="13">
        <v>37792</v>
      </c>
      <c r="K228" s="12">
        <v>138317</v>
      </c>
      <c r="L228" s="3" t="s">
        <v>37</v>
      </c>
      <c r="M228" s="30">
        <f>(F228 + G228 + H228 ) / K228</f>
        <v>0.15262765965138053</v>
      </c>
    </row>
    <row r="229" spans="1:13" ht="14.25" customHeight="1">
      <c r="A229" s="3" t="s">
        <v>403</v>
      </c>
      <c r="B229" s="3" t="s">
        <v>44</v>
      </c>
      <c r="C229" s="29" t="s">
        <v>142</v>
      </c>
      <c r="D229" s="3" t="s">
        <v>22</v>
      </c>
      <c r="E229" s="3" t="s">
        <v>36</v>
      </c>
      <c r="F229" s="12">
        <v>5266</v>
      </c>
      <c r="G229" s="12">
        <v>316</v>
      </c>
      <c r="H229" s="12">
        <v>837</v>
      </c>
      <c r="I229" s="12">
        <v>2276</v>
      </c>
      <c r="J229" s="13">
        <v>20967</v>
      </c>
      <c r="K229" s="12">
        <v>41969</v>
      </c>
      <c r="L229" s="3" t="s">
        <v>18</v>
      </c>
      <c r="M229" s="30">
        <f>(F229 + G229 + H229 ) / K229</f>
        <v>0.1529462222116324</v>
      </c>
    </row>
    <row r="230" spans="1:13" ht="14.25" customHeight="1">
      <c r="A230" s="3" t="s">
        <v>404</v>
      </c>
      <c r="B230" s="3" t="s">
        <v>62</v>
      </c>
      <c r="C230" s="29" t="s">
        <v>198</v>
      </c>
      <c r="D230" s="3" t="s">
        <v>35</v>
      </c>
      <c r="E230" s="3" t="s">
        <v>32</v>
      </c>
      <c r="F230" s="12">
        <v>14338</v>
      </c>
      <c r="G230" s="12">
        <v>1454</v>
      </c>
      <c r="H230" s="12">
        <v>697</v>
      </c>
      <c r="I230" s="12">
        <v>2703</v>
      </c>
      <c r="J230" s="13">
        <v>21288</v>
      </c>
      <c r="K230" s="12">
        <v>107649</v>
      </c>
      <c r="L230" s="3" t="s">
        <v>24</v>
      </c>
      <c r="M230" s="30">
        <f>(F230 + G230 + H230 ) / K230</f>
        <v>0.1531737405828201</v>
      </c>
    </row>
    <row r="231" spans="1:13" ht="14.25" customHeight="1">
      <c r="A231" s="3" t="s">
        <v>405</v>
      </c>
      <c r="B231" s="3" t="s">
        <v>20</v>
      </c>
      <c r="C231" s="29" t="s">
        <v>406</v>
      </c>
      <c r="D231" s="3" t="s">
        <v>31</v>
      </c>
      <c r="E231" s="3" t="s">
        <v>88</v>
      </c>
      <c r="F231" s="12">
        <v>10172</v>
      </c>
      <c r="G231" s="12">
        <v>1398</v>
      </c>
      <c r="H231" s="12">
        <v>394</v>
      </c>
      <c r="I231" s="12">
        <v>2358</v>
      </c>
      <c r="J231" s="13">
        <v>59610</v>
      </c>
      <c r="K231" s="12">
        <v>76321</v>
      </c>
      <c r="L231" s="3" t="s">
        <v>24</v>
      </c>
      <c r="M231" s="30">
        <f>(F231 + G231 + H231 ) / K231</f>
        <v>0.15675895231980713</v>
      </c>
    </row>
    <row r="232" spans="1:13" ht="14.25" customHeight="1">
      <c r="A232" s="3" t="s">
        <v>407</v>
      </c>
      <c r="B232" s="3" t="s">
        <v>44</v>
      </c>
      <c r="C232" s="29" t="s">
        <v>408</v>
      </c>
      <c r="D232" s="3" t="s">
        <v>31</v>
      </c>
      <c r="E232" s="3" t="s">
        <v>60</v>
      </c>
      <c r="F232" s="12">
        <v>21758</v>
      </c>
      <c r="G232" s="12">
        <v>1380</v>
      </c>
      <c r="H232" s="12">
        <v>188</v>
      </c>
      <c r="I232" s="12">
        <v>1735</v>
      </c>
      <c r="J232" s="13">
        <v>20998</v>
      </c>
      <c r="K232" s="12">
        <v>147803</v>
      </c>
      <c r="L232" s="3" t="s">
        <v>18</v>
      </c>
      <c r="M232" s="30">
        <f>(F232 + G232 + H232 ) / K232</f>
        <v>0.15781817689762725</v>
      </c>
    </row>
    <row r="233" spans="1:13" ht="14.25" customHeight="1">
      <c r="A233" s="3" t="s">
        <v>409</v>
      </c>
      <c r="B233" s="3" t="s">
        <v>20</v>
      </c>
      <c r="C233" s="29">
        <v>45920</v>
      </c>
      <c r="D233" s="3" t="s">
        <v>31</v>
      </c>
      <c r="E233" s="3" t="s">
        <v>17</v>
      </c>
      <c r="F233" s="12">
        <v>18633</v>
      </c>
      <c r="G233" s="12">
        <v>797</v>
      </c>
      <c r="H233" s="12">
        <v>303</v>
      </c>
      <c r="I233" s="12">
        <v>659</v>
      </c>
      <c r="J233" s="13">
        <v>7</v>
      </c>
      <c r="K233" s="12">
        <v>122189</v>
      </c>
      <c r="L233" s="3" t="s">
        <v>37</v>
      </c>
      <c r="M233" s="30">
        <f>(F233 + G233 + H233 ) / K233</f>
        <v>0.16149571565361859</v>
      </c>
    </row>
    <row r="234" spans="1:13" ht="14.25" customHeight="1">
      <c r="A234" s="3" t="s">
        <v>410</v>
      </c>
      <c r="B234" s="3" t="s">
        <v>62</v>
      </c>
      <c r="C234" s="29" t="s">
        <v>281</v>
      </c>
      <c r="D234" s="3" t="s">
        <v>22</v>
      </c>
      <c r="E234" s="3" t="s">
        <v>103</v>
      </c>
      <c r="F234" s="12">
        <v>16594</v>
      </c>
      <c r="G234" s="12">
        <v>809</v>
      </c>
      <c r="H234" s="12">
        <v>784</v>
      </c>
      <c r="I234" s="12">
        <v>1655</v>
      </c>
      <c r="J234" s="13">
        <v>35505</v>
      </c>
      <c r="K234" s="12">
        <v>112588</v>
      </c>
      <c r="L234" s="3" t="s">
        <v>28</v>
      </c>
      <c r="M234" s="30">
        <f>(F234 + G234 + H234 ) / K234</f>
        <v>0.16153586527871533</v>
      </c>
    </row>
    <row r="235" spans="1:13" ht="14.25" customHeight="1">
      <c r="A235" s="3" t="s">
        <v>411</v>
      </c>
      <c r="B235" s="3" t="s">
        <v>20</v>
      </c>
      <c r="C235" s="29" t="s">
        <v>396</v>
      </c>
      <c r="D235" s="3" t="s">
        <v>16</v>
      </c>
      <c r="E235" s="3" t="s">
        <v>32</v>
      </c>
      <c r="F235" s="12">
        <v>17728</v>
      </c>
      <c r="G235" s="12">
        <v>1487</v>
      </c>
      <c r="H235" s="12">
        <v>210</v>
      </c>
      <c r="I235" s="12">
        <v>2469</v>
      </c>
      <c r="J235" s="13">
        <v>30565</v>
      </c>
      <c r="K235" s="12">
        <v>117576</v>
      </c>
      <c r="L235" s="3" t="s">
        <v>33</v>
      </c>
      <c r="M235" s="30">
        <f>(F235 + G235 + H235 ) / K235</f>
        <v>0.16521228822208614</v>
      </c>
    </row>
    <row r="236" spans="1:13" ht="14.25" customHeight="1">
      <c r="A236" s="3" t="s">
        <v>412</v>
      </c>
      <c r="B236" s="3" t="s">
        <v>44</v>
      </c>
      <c r="C236" s="29">
        <v>45921</v>
      </c>
      <c r="D236" s="3" t="s">
        <v>22</v>
      </c>
      <c r="E236" s="3" t="s">
        <v>103</v>
      </c>
      <c r="F236" s="12">
        <v>23103</v>
      </c>
      <c r="G236" s="12">
        <v>1380</v>
      </c>
      <c r="H236" s="12">
        <v>191</v>
      </c>
      <c r="I236" s="12">
        <v>1547</v>
      </c>
      <c r="J236" s="13">
        <v>77798</v>
      </c>
      <c r="K236" s="12">
        <v>148856</v>
      </c>
      <c r="L236" s="3" t="s">
        <v>37</v>
      </c>
      <c r="M236" s="30">
        <f>(F236 + G236 + H236 ) / K236</f>
        <v>0.16575751061428495</v>
      </c>
    </row>
    <row r="237" spans="1:13" ht="14.25" customHeight="1">
      <c r="A237" s="3" t="s">
        <v>413</v>
      </c>
      <c r="B237" s="3" t="s">
        <v>14</v>
      </c>
      <c r="C237" s="29">
        <v>45921</v>
      </c>
      <c r="D237" s="3" t="s">
        <v>31</v>
      </c>
      <c r="E237" s="3" t="s">
        <v>27</v>
      </c>
      <c r="F237" s="12">
        <v>19680</v>
      </c>
      <c r="G237" s="12">
        <v>999</v>
      </c>
      <c r="H237" s="12">
        <v>838</v>
      </c>
      <c r="I237" s="12">
        <v>891</v>
      </c>
      <c r="J237" s="13">
        <v>29576</v>
      </c>
      <c r="K237" s="12">
        <v>129152</v>
      </c>
      <c r="L237" s="3" t="s">
        <v>37</v>
      </c>
      <c r="M237" s="30">
        <f>(F237 + G237 + H237 ) / K237</f>
        <v>0.16660214321110009</v>
      </c>
    </row>
    <row r="238" spans="1:13" ht="14.25" customHeight="1">
      <c r="A238" s="3" t="s">
        <v>414</v>
      </c>
      <c r="B238" s="3" t="s">
        <v>62</v>
      </c>
      <c r="C238" s="29" t="s">
        <v>415</v>
      </c>
      <c r="D238" s="3" t="s">
        <v>16</v>
      </c>
      <c r="E238" s="3" t="s">
        <v>36</v>
      </c>
      <c r="F238" s="12">
        <v>14394</v>
      </c>
      <c r="G238" s="12">
        <v>1202</v>
      </c>
      <c r="H238" s="12">
        <v>188</v>
      </c>
      <c r="I238" s="12">
        <v>1259</v>
      </c>
      <c r="J238" s="13">
        <v>21925</v>
      </c>
      <c r="K238" s="12">
        <v>94061</v>
      </c>
      <c r="L238" s="3" t="s">
        <v>24</v>
      </c>
      <c r="M238" s="30">
        <f>(F238 + G238 + H238 ) / K238</f>
        <v>0.1678059982351878</v>
      </c>
    </row>
    <row r="239" spans="1:13" ht="14.25" customHeight="1">
      <c r="A239" s="3" t="s">
        <v>416</v>
      </c>
      <c r="B239" s="3" t="s">
        <v>14</v>
      </c>
      <c r="C239" s="29" t="s">
        <v>417</v>
      </c>
      <c r="D239" s="3" t="s">
        <v>35</v>
      </c>
      <c r="E239" s="3" t="s">
        <v>40</v>
      </c>
      <c r="F239" s="12">
        <v>22527</v>
      </c>
      <c r="G239" s="12">
        <v>865</v>
      </c>
      <c r="H239" s="12">
        <v>646</v>
      </c>
      <c r="I239" s="12">
        <v>992</v>
      </c>
      <c r="J239" s="13">
        <v>18654</v>
      </c>
      <c r="K239" s="12">
        <v>141376</v>
      </c>
      <c r="L239" s="3" t="s">
        <v>18</v>
      </c>
      <c r="M239" s="30">
        <f>(F239 + G239 + H239 ) / K239</f>
        <v>0.17002885921231325</v>
      </c>
    </row>
    <row r="240" spans="1:13" ht="14.25" customHeight="1">
      <c r="A240" s="3" t="s">
        <v>418</v>
      </c>
      <c r="B240" s="3" t="s">
        <v>14</v>
      </c>
      <c r="C240" s="29" t="s">
        <v>419</v>
      </c>
      <c r="D240" s="3" t="s">
        <v>22</v>
      </c>
      <c r="E240" s="3" t="s">
        <v>23</v>
      </c>
      <c r="F240" s="12">
        <v>8233</v>
      </c>
      <c r="G240" s="12">
        <v>436</v>
      </c>
      <c r="H240" s="12">
        <v>269</v>
      </c>
      <c r="I240" s="12">
        <v>2037</v>
      </c>
      <c r="J240" s="13">
        <v>8875</v>
      </c>
      <c r="K240" s="12">
        <v>52289</v>
      </c>
      <c r="L240" s="3" t="s">
        <v>33</v>
      </c>
      <c r="M240" s="30">
        <f>(F240 + G240 + H240 ) / K240</f>
        <v>0.17093461339861157</v>
      </c>
    </row>
    <row r="241" spans="1:13" ht="14.25" customHeight="1">
      <c r="A241" s="3" t="s">
        <v>420</v>
      </c>
      <c r="B241" s="3" t="s">
        <v>14</v>
      </c>
      <c r="C241" s="29" t="s">
        <v>421</v>
      </c>
      <c r="D241" s="3" t="s">
        <v>22</v>
      </c>
      <c r="E241" s="3" t="s">
        <v>40</v>
      </c>
      <c r="F241" s="12">
        <v>22562</v>
      </c>
      <c r="G241" s="12">
        <v>778</v>
      </c>
      <c r="H241" s="12">
        <v>907</v>
      </c>
      <c r="I241" s="12">
        <v>1354</v>
      </c>
      <c r="J241" s="13">
        <v>34475</v>
      </c>
      <c r="K241" s="12">
        <v>141459</v>
      </c>
      <c r="L241" s="3" t="s">
        <v>24</v>
      </c>
      <c r="M241" s="30">
        <f>(F241 + G241 + H241 ) / K241</f>
        <v>0.17140655596321194</v>
      </c>
    </row>
    <row r="242" spans="1:13" ht="14.25" customHeight="1">
      <c r="A242" s="3" t="s">
        <v>422</v>
      </c>
      <c r="B242" s="3" t="s">
        <v>14</v>
      </c>
      <c r="C242" s="29">
        <v>45924</v>
      </c>
      <c r="D242" s="3" t="s">
        <v>35</v>
      </c>
      <c r="E242" s="3" t="s">
        <v>32</v>
      </c>
      <c r="F242" s="12">
        <v>12209</v>
      </c>
      <c r="G242" s="12">
        <v>222</v>
      </c>
      <c r="H242" s="12">
        <v>479</v>
      </c>
      <c r="I242" s="12">
        <v>2748</v>
      </c>
      <c r="J242" s="13">
        <v>24615</v>
      </c>
      <c r="K242" s="12">
        <v>74707</v>
      </c>
      <c r="L242" s="3" t="s">
        <v>37</v>
      </c>
      <c r="M242" s="30">
        <f>(F242 + G242 + H242 ) / K242</f>
        <v>0.17280843829895459</v>
      </c>
    </row>
    <row r="243" spans="1:13" ht="14.25" customHeight="1">
      <c r="A243" s="3" t="s">
        <v>423</v>
      </c>
      <c r="B243" s="3" t="s">
        <v>44</v>
      </c>
      <c r="C243" s="29" t="s">
        <v>424</v>
      </c>
      <c r="D243" s="3" t="s">
        <v>16</v>
      </c>
      <c r="E243" s="3" t="s">
        <v>103</v>
      </c>
      <c r="F243" s="12">
        <v>8090</v>
      </c>
      <c r="G243" s="12">
        <v>570</v>
      </c>
      <c r="H243" s="12">
        <v>399</v>
      </c>
      <c r="I243" s="12">
        <v>1862</v>
      </c>
      <c r="J243" s="13">
        <v>34088</v>
      </c>
      <c r="K243" s="12">
        <v>52115</v>
      </c>
      <c r="L243" s="3" t="s">
        <v>33</v>
      </c>
      <c r="M243" s="30">
        <f>(F243 + G243 + H243 ) / K243</f>
        <v>0.17382711311522595</v>
      </c>
    </row>
    <row r="244" spans="1:13" ht="14.25" customHeight="1">
      <c r="A244" s="3" t="s">
        <v>425</v>
      </c>
      <c r="B244" s="3" t="s">
        <v>62</v>
      </c>
      <c r="C244" s="29" t="s">
        <v>189</v>
      </c>
      <c r="D244" s="3" t="s">
        <v>16</v>
      </c>
      <c r="E244" s="3" t="s">
        <v>17</v>
      </c>
      <c r="F244" s="12">
        <v>8938</v>
      </c>
      <c r="G244" s="12">
        <v>800</v>
      </c>
      <c r="H244" s="12">
        <v>842</v>
      </c>
      <c r="I244" s="12">
        <v>2072</v>
      </c>
      <c r="J244" s="13">
        <v>31736</v>
      </c>
      <c r="K244" s="12">
        <v>59975</v>
      </c>
      <c r="L244" s="3" t="s">
        <v>24</v>
      </c>
      <c r="M244" s="30">
        <f>(F244 + G244 + H244 ) / K244</f>
        <v>0.17640683618174238</v>
      </c>
    </row>
    <row r="245" spans="1:13" ht="14.25" customHeight="1">
      <c r="A245" s="3" t="s">
        <v>426</v>
      </c>
      <c r="B245" s="3" t="s">
        <v>20</v>
      </c>
      <c r="C245" s="29" t="s">
        <v>427</v>
      </c>
      <c r="D245" s="3" t="s">
        <v>35</v>
      </c>
      <c r="E245" s="3" t="s">
        <v>17</v>
      </c>
      <c r="F245" s="12">
        <v>23969</v>
      </c>
      <c r="G245" s="12">
        <v>1433</v>
      </c>
      <c r="H245" s="12">
        <v>372</v>
      </c>
      <c r="I245" s="12">
        <v>1092</v>
      </c>
      <c r="J245" s="13">
        <v>32147</v>
      </c>
      <c r="K245" s="12">
        <v>145823</v>
      </c>
      <c r="L245" s="3" t="s">
        <v>28</v>
      </c>
      <c r="M245" s="30">
        <f>(F245 + G245 + H245 ) / K245</f>
        <v>0.17674852389540743</v>
      </c>
    </row>
    <row r="246" spans="1:13" ht="14.25" customHeight="1">
      <c r="A246" s="3" t="s">
        <v>428</v>
      </c>
      <c r="B246" s="3" t="s">
        <v>20</v>
      </c>
      <c r="C246" s="29" t="s">
        <v>96</v>
      </c>
      <c r="D246" s="3" t="s">
        <v>22</v>
      </c>
      <c r="E246" s="3" t="s">
        <v>67</v>
      </c>
      <c r="F246" s="12">
        <v>20977</v>
      </c>
      <c r="G246" s="12">
        <v>1402</v>
      </c>
      <c r="H246" s="12">
        <v>301</v>
      </c>
      <c r="I246" s="12">
        <v>1284</v>
      </c>
      <c r="J246" s="13">
        <v>24620</v>
      </c>
      <c r="K246" s="12">
        <v>128009</v>
      </c>
      <c r="L246" s="3" t="s">
        <v>33</v>
      </c>
      <c r="M246" s="30">
        <f>(F246 + G246 + H246 ) / K246</f>
        <v>0.17717504237983267</v>
      </c>
    </row>
    <row r="247" spans="1:13" ht="14.25" customHeight="1">
      <c r="A247" s="3" t="s">
        <v>429</v>
      </c>
      <c r="B247" s="3" t="s">
        <v>44</v>
      </c>
      <c r="C247" s="29" t="s">
        <v>259</v>
      </c>
      <c r="D247" s="3" t="s">
        <v>22</v>
      </c>
      <c r="E247" s="3" t="s">
        <v>88</v>
      </c>
      <c r="F247" s="12">
        <v>12554</v>
      </c>
      <c r="G247" s="12">
        <v>381</v>
      </c>
      <c r="H247" s="12">
        <v>211</v>
      </c>
      <c r="I247" s="12">
        <v>2286</v>
      </c>
      <c r="J247" s="13">
        <v>50567</v>
      </c>
      <c r="K247" s="12">
        <v>72779</v>
      </c>
      <c r="L247" s="3" t="s">
        <v>33</v>
      </c>
      <c r="M247" s="30">
        <f>(F247 + G247 + H247 ) / K247</f>
        <v>0.18062902760411656</v>
      </c>
    </row>
    <row r="248" spans="1:13" ht="14.25" customHeight="1">
      <c r="A248" s="3" t="s">
        <v>430</v>
      </c>
      <c r="B248" s="3" t="s">
        <v>20</v>
      </c>
      <c r="C248" s="29">
        <v>45934</v>
      </c>
      <c r="D248" s="3" t="s">
        <v>22</v>
      </c>
      <c r="E248" s="3" t="s">
        <v>27</v>
      </c>
      <c r="F248" s="12">
        <v>12488</v>
      </c>
      <c r="G248" s="12">
        <v>1403</v>
      </c>
      <c r="H248" s="12">
        <v>247</v>
      </c>
      <c r="I248" s="12">
        <v>1350</v>
      </c>
      <c r="J248" s="13">
        <v>28370</v>
      </c>
      <c r="K248" s="12">
        <v>76487</v>
      </c>
      <c r="L248" s="3" t="s">
        <v>37</v>
      </c>
      <c r="M248" s="30">
        <f>(F248 + G248 + H248 ) / K248</f>
        <v>0.18484186855282597</v>
      </c>
    </row>
    <row r="249" spans="1:13" ht="14.25" customHeight="1">
      <c r="A249" s="3" t="s">
        <v>431</v>
      </c>
      <c r="B249" s="3" t="s">
        <v>14</v>
      </c>
      <c r="C249" s="29" t="s">
        <v>367</v>
      </c>
      <c r="D249" s="3" t="s">
        <v>35</v>
      </c>
      <c r="E249" s="3" t="s">
        <v>67</v>
      </c>
      <c r="F249" s="12">
        <v>24984</v>
      </c>
      <c r="G249" s="12">
        <v>753</v>
      </c>
      <c r="H249" s="12">
        <v>461</v>
      </c>
      <c r="I249" s="12">
        <v>2710</v>
      </c>
      <c r="J249" s="13">
        <v>20792</v>
      </c>
      <c r="K249" s="12">
        <v>141520</v>
      </c>
      <c r="L249" s="3" t="s">
        <v>28</v>
      </c>
      <c r="M249" s="30">
        <f>(F249 + G249 + H249 ) / K249</f>
        <v>0.18511871113623515</v>
      </c>
    </row>
    <row r="250" spans="1:13" ht="14.25" customHeight="1">
      <c r="A250" s="3" t="s">
        <v>432</v>
      </c>
      <c r="B250" s="3" t="s">
        <v>62</v>
      </c>
      <c r="C250" s="29" t="s">
        <v>433</v>
      </c>
      <c r="D250" s="3" t="s">
        <v>16</v>
      </c>
      <c r="E250" s="3" t="s">
        <v>27</v>
      </c>
      <c r="F250" s="12">
        <v>6854</v>
      </c>
      <c r="G250" s="12">
        <v>417</v>
      </c>
      <c r="H250" s="12">
        <v>467</v>
      </c>
      <c r="I250" s="12">
        <v>1003</v>
      </c>
      <c r="J250" s="13">
        <v>61333</v>
      </c>
      <c r="K250" s="12">
        <v>40281</v>
      </c>
      <c r="L250" s="3" t="s">
        <v>33</v>
      </c>
      <c r="M250" s="30">
        <f>(F250 + G250 + H250 ) / K250</f>
        <v>0.19210049402944315</v>
      </c>
    </row>
    <row r="251" spans="1:13" ht="14.25" customHeight="1">
      <c r="A251" s="3" t="s">
        <v>434</v>
      </c>
      <c r="B251" s="3" t="s">
        <v>14</v>
      </c>
      <c r="C251" s="29" t="s">
        <v>120</v>
      </c>
      <c r="D251" s="3" t="s">
        <v>31</v>
      </c>
      <c r="E251" s="3" t="s">
        <v>23</v>
      </c>
      <c r="F251" s="12">
        <v>11911</v>
      </c>
      <c r="G251" s="12">
        <v>1360</v>
      </c>
      <c r="H251" s="12">
        <v>778</v>
      </c>
      <c r="I251" s="12">
        <v>1168</v>
      </c>
      <c r="J251" s="13">
        <v>16483</v>
      </c>
      <c r="K251" s="12">
        <v>72556</v>
      </c>
      <c r="L251" s="3" t="s">
        <v>28</v>
      </c>
      <c r="M251" s="30">
        <f>(F251 + G251 + H251 ) / K251</f>
        <v>0.19362974805667346</v>
      </c>
    </row>
    <row r="252" spans="1:13" ht="14.25" customHeight="1">
      <c r="A252" s="3" t="s">
        <v>435</v>
      </c>
      <c r="B252" s="3" t="s">
        <v>14</v>
      </c>
      <c r="C252" s="29" t="s">
        <v>102</v>
      </c>
      <c r="D252" s="3" t="s">
        <v>31</v>
      </c>
      <c r="E252" s="3" t="s">
        <v>46</v>
      </c>
      <c r="F252" s="12">
        <v>13637</v>
      </c>
      <c r="G252" s="12">
        <v>1135</v>
      </c>
      <c r="H252" s="12">
        <v>540</v>
      </c>
      <c r="I252" s="12">
        <v>1288</v>
      </c>
      <c r="J252" s="13">
        <v>45183</v>
      </c>
      <c r="K252" s="12">
        <v>79062</v>
      </c>
      <c r="L252" s="3" t="s">
        <v>18</v>
      </c>
      <c r="M252" s="30">
        <f>(F252 + G252 + H252 ) / K252</f>
        <v>0.19367079001290127</v>
      </c>
    </row>
    <row r="253" spans="1:13" ht="14.25" customHeight="1">
      <c r="A253" s="3" t="s">
        <v>436</v>
      </c>
      <c r="B253" s="3" t="s">
        <v>44</v>
      </c>
      <c r="C253" s="29" t="s">
        <v>437</v>
      </c>
      <c r="D253" s="3" t="s">
        <v>22</v>
      </c>
      <c r="E253" s="3" t="s">
        <v>36</v>
      </c>
      <c r="F253" s="12">
        <v>10427</v>
      </c>
      <c r="G253" s="12">
        <v>1014</v>
      </c>
      <c r="H253" s="12">
        <v>166</v>
      </c>
      <c r="I253" s="12">
        <v>1649</v>
      </c>
      <c r="J253" s="13">
        <v>15145</v>
      </c>
      <c r="K253" s="12">
        <v>59816</v>
      </c>
      <c r="L253" s="3" t="s">
        <v>28</v>
      </c>
      <c r="M253" s="30">
        <f>(F253 + G253 + H253 ) / K253</f>
        <v>0.19404507155276179</v>
      </c>
    </row>
    <row r="254" spans="1:13" ht="14.25" customHeight="1">
      <c r="A254" s="3" t="s">
        <v>438</v>
      </c>
      <c r="B254" s="3" t="s">
        <v>14</v>
      </c>
      <c r="C254" s="29">
        <v>45926</v>
      </c>
      <c r="D254" s="3" t="s">
        <v>22</v>
      </c>
      <c r="E254" s="3" t="s">
        <v>67</v>
      </c>
      <c r="F254" s="12">
        <v>21216</v>
      </c>
      <c r="G254" s="12">
        <v>226</v>
      </c>
      <c r="H254" s="12">
        <v>187</v>
      </c>
      <c r="I254" s="12">
        <v>1573</v>
      </c>
      <c r="J254" s="13">
        <v>62688</v>
      </c>
      <c r="K254" s="12">
        <v>111031</v>
      </c>
      <c r="L254" s="3" t="s">
        <v>37</v>
      </c>
      <c r="M254" s="30">
        <f>(F254 + G254 + H254 ) / K254</f>
        <v>0.19480145184678152</v>
      </c>
    </row>
    <row r="255" spans="1:13" ht="14.25" customHeight="1">
      <c r="A255" s="3" t="s">
        <v>439</v>
      </c>
      <c r="B255" s="3" t="s">
        <v>14</v>
      </c>
      <c r="C255" s="29" t="s">
        <v>440</v>
      </c>
      <c r="D255" s="3" t="s">
        <v>22</v>
      </c>
      <c r="E255" s="3" t="s">
        <v>103</v>
      </c>
      <c r="F255" s="12">
        <v>15568</v>
      </c>
      <c r="G255" s="12">
        <v>1166</v>
      </c>
      <c r="H255" s="12">
        <v>546</v>
      </c>
      <c r="I255" s="12">
        <v>826</v>
      </c>
      <c r="J255" s="13">
        <v>21836</v>
      </c>
      <c r="K255" s="12">
        <v>87055</v>
      </c>
      <c r="L255" s="3" t="s">
        <v>33</v>
      </c>
      <c r="M255" s="30">
        <f>(F255 + G255 + H255 ) / K255</f>
        <v>0.19849520418126471</v>
      </c>
    </row>
    <row r="256" spans="1:13" ht="14.25" customHeight="1">
      <c r="A256" s="3" t="s">
        <v>441</v>
      </c>
      <c r="B256" s="3" t="s">
        <v>62</v>
      </c>
      <c r="C256" s="29" t="s">
        <v>442</v>
      </c>
      <c r="D256" s="3" t="s">
        <v>16</v>
      </c>
      <c r="E256" s="3" t="s">
        <v>67</v>
      </c>
      <c r="F256" s="12">
        <v>22645</v>
      </c>
      <c r="G256" s="12">
        <v>545</v>
      </c>
      <c r="H256" s="12">
        <v>972</v>
      </c>
      <c r="I256" s="12">
        <v>321</v>
      </c>
      <c r="J256" s="13">
        <v>8396</v>
      </c>
      <c r="K256" s="12">
        <v>121537</v>
      </c>
      <c r="L256" s="3" t="s">
        <v>18</v>
      </c>
      <c r="M256" s="30">
        <f>(F256 + G256 + H256 ) / K256</f>
        <v>0.19880365649966678</v>
      </c>
    </row>
    <row r="257" spans="1:15" ht="14.25" customHeight="1">
      <c r="A257" s="3" t="s">
        <v>443</v>
      </c>
      <c r="B257" s="3" t="s">
        <v>20</v>
      </c>
      <c r="C257" s="29" t="s">
        <v>444</v>
      </c>
      <c r="D257" s="3" t="s">
        <v>22</v>
      </c>
      <c r="E257" s="3" t="s">
        <v>36</v>
      </c>
      <c r="F257" s="12">
        <v>15234</v>
      </c>
      <c r="G257" s="12">
        <v>1276</v>
      </c>
      <c r="H257" s="12">
        <v>670</v>
      </c>
      <c r="I257" s="12">
        <v>1860</v>
      </c>
      <c r="J257" s="13">
        <v>60397</v>
      </c>
      <c r="K257" s="12">
        <v>86413</v>
      </c>
      <c r="L257" s="3" t="s">
        <v>18</v>
      </c>
      <c r="M257" s="30">
        <f>(F257 + G257 + H257 ) / K257</f>
        <v>0.19881267864788862</v>
      </c>
    </row>
    <row r="258" spans="1:15" ht="14.25" customHeight="1">
      <c r="A258" s="3" t="s">
        <v>445</v>
      </c>
      <c r="B258" s="3" t="s">
        <v>62</v>
      </c>
      <c r="C258" s="29" t="s">
        <v>446</v>
      </c>
      <c r="D258" s="3" t="s">
        <v>16</v>
      </c>
      <c r="E258" s="3" t="s">
        <v>67</v>
      </c>
      <c r="F258" s="12">
        <v>19447</v>
      </c>
      <c r="G258" s="12">
        <v>1014</v>
      </c>
      <c r="H258" s="12">
        <v>256</v>
      </c>
      <c r="I258" s="12">
        <v>2354</v>
      </c>
      <c r="J258" s="13">
        <v>5472</v>
      </c>
      <c r="K258" s="12">
        <v>104106</v>
      </c>
      <c r="L258" s="3" t="s">
        <v>33</v>
      </c>
      <c r="M258" s="30">
        <f>(F258 + G258 + H258 ) / K258</f>
        <v>0.19899909707413599</v>
      </c>
    </row>
    <row r="259" spans="1:15" ht="14.25" customHeight="1">
      <c r="A259" s="3" t="s">
        <v>447</v>
      </c>
      <c r="B259" s="3" t="s">
        <v>20</v>
      </c>
      <c r="C259" s="29" t="s">
        <v>448</v>
      </c>
      <c r="D259" s="3" t="s">
        <v>16</v>
      </c>
      <c r="E259" s="3" t="s">
        <v>17</v>
      </c>
      <c r="F259" s="12">
        <v>12916</v>
      </c>
      <c r="G259" s="12">
        <v>1262</v>
      </c>
      <c r="H259" s="12">
        <v>772</v>
      </c>
      <c r="I259" s="12">
        <v>856</v>
      </c>
      <c r="J259" s="13">
        <v>11496</v>
      </c>
      <c r="K259" s="12">
        <v>75046</v>
      </c>
      <c r="L259" s="3" t="s">
        <v>28</v>
      </c>
      <c r="M259" s="30">
        <f>(F259 + G259 + H259 ) / K259</f>
        <v>0.19921115049436347</v>
      </c>
    </row>
    <row r="260" spans="1:15" ht="14.25" customHeight="1">
      <c r="A260" s="3" t="s">
        <v>449</v>
      </c>
      <c r="B260" s="3" t="s">
        <v>62</v>
      </c>
      <c r="C260" s="29" t="s">
        <v>354</v>
      </c>
      <c r="D260" s="3" t="s">
        <v>16</v>
      </c>
      <c r="E260" s="3" t="s">
        <v>23</v>
      </c>
      <c r="F260" s="12">
        <v>21198</v>
      </c>
      <c r="G260" s="12">
        <v>1484</v>
      </c>
      <c r="H260" s="12">
        <v>174</v>
      </c>
      <c r="I260" s="12">
        <v>1293</v>
      </c>
      <c r="J260" s="13">
        <v>16330</v>
      </c>
      <c r="K260" s="12">
        <v>111635</v>
      </c>
      <c r="L260" s="3" t="s">
        <v>24</v>
      </c>
      <c r="M260" s="30">
        <f>(F260 + G260 + H260 ) / K260</f>
        <v>0.20473865723115511</v>
      </c>
    </row>
    <row r="261" spans="1:15" ht="14.25" customHeight="1">
      <c r="A261" s="3" t="s">
        <v>450</v>
      </c>
      <c r="B261" s="3" t="s">
        <v>62</v>
      </c>
      <c r="C261" s="29">
        <v>45915</v>
      </c>
      <c r="D261" s="3" t="s">
        <v>31</v>
      </c>
      <c r="E261" s="3" t="s">
        <v>32</v>
      </c>
      <c r="F261" s="12">
        <v>18389</v>
      </c>
      <c r="G261" s="12">
        <v>670</v>
      </c>
      <c r="H261" s="12">
        <v>655</v>
      </c>
      <c r="I261" s="12">
        <v>321</v>
      </c>
      <c r="J261" s="13">
        <v>21869</v>
      </c>
      <c r="K261" s="12">
        <v>96088</v>
      </c>
      <c r="L261" s="3" t="s">
        <v>37</v>
      </c>
      <c r="M261" s="30">
        <f>(F261 + G261 + H261 ) / K261</f>
        <v>0.2051660977437349</v>
      </c>
    </row>
    <row r="262" spans="1:15" ht="14.25" customHeight="1">
      <c r="A262" s="3" t="s">
        <v>451</v>
      </c>
      <c r="B262" s="3" t="s">
        <v>62</v>
      </c>
      <c r="C262" s="29" t="s">
        <v>224</v>
      </c>
      <c r="D262" s="3" t="s">
        <v>31</v>
      </c>
      <c r="E262" s="3" t="s">
        <v>32</v>
      </c>
      <c r="F262" s="12">
        <v>21729</v>
      </c>
      <c r="G262" s="12">
        <v>1209</v>
      </c>
      <c r="H262" s="12">
        <v>897</v>
      </c>
      <c r="I262" s="12">
        <v>1624</v>
      </c>
      <c r="J262" s="13">
        <v>38771</v>
      </c>
      <c r="K262" s="12">
        <v>113297</v>
      </c>
      <c r="L262" s="3" t="s">
        <v>24</v>
      </c>
      <c r="M262" s="30">
        <f>(F262 + G262 + H262 ) / K262</f>
        <v>0.21037626768581694</v>
      </c>
    </row>
    <row r="263" spans="1:15" ht="14.25" customHeight="1">
      <c r="A263" s="3" t="s">
        <v>452</v>
      </c>
      <c r="B263" s="3" t="s">
        <v>62</v>
      </c>
      <c r="C263" s="29" t="s">
        <v>312</v>
      </c>
      <c r="D263" s="3" t="s">
        <v>35</v>
      </c>
      <c r="E263" s="3" t="s">
        <v>27</v>
      </c>
      <c r="F263" s="12">
        <v>7870</v>
      </c>
      <c r="G263" s="12">
        <v>968</v>
      </c>
      <c r="H263" s="12">
        <v>626</v>
      </c>
      <c r="I263" s="12">
        <v>465</v>
      </c>
      <c r="J263" s="13">
        <v>27184</v>
      </c>
      <c r="K263" s="12">
        <v>44114</v>
      </c>
      <c r="L263" s="3" t="s">
        <v>18</v>
      </c>
      <c r="M263" s="30">
        <f>(F263 + G263 + H263 ) / K263</f>
        <v>0.2145350682323072</v>
      </c>
    </row>
    <row r="264" spans="1:15" ht="14.25" customHeight="1">
      <c r="A264" s="3" t="s">
        <v>453</v>
      </c>
      <c r="B264" s="3" t="s">
        <v>14</v>
      </c>
      <c r="C264" s="29" t="s">
        <v>454</v>
      </c>
      <c r="D264" s="3" t="s">
        <v>35</v>
      </c>
      <c r="E264" s="3" t="s">
        <v>17</v>
      </c>
      <c r="F264" s="12">
        <v>17444</v>
      </c>
      <c r="G264" s="12">
        <v>1402</v>
      </c>
      <c r="H264" s="12">
        <v>218</v>
      </c>
      <c r="I264" s="12">
        <v>725</v>
      </c>
      <c r="J264" s="13">
        <v>8710</v>
      </c>
      <c r="K264" s="12">
        <v>85893</v>
      </c>
      <c r="L264" s="3" t="s">
        <v>18</v>
      </c>
      <c r="M264" s="30">
        <f>(F264 + G264 + H264 ) / K264</f>
        <v>0.22195056640238436</v>
      </c>
    </row>
    <row r="265" spans="1:15" ht="14.25" customHeight="1">
      <c r="A265" s="3" t="s">
        <v>455</v>
      </c>
      <c r="B265" s="3" t="s">
        <v>62</v>
      </c>
      <c r="C265" s="29" t="s">
        <v>203</v>
      </c>
      <c r="D265" s="3" t="s">
        <v>16</v>
      </c>
      <c r="E265" s="3" t="s">
        <v>40</v>
      </c>
      <c r="F265" s="12">
        <v>15013</v>
      </c>
      <c r="G265" s="12">
        <v>1286</v>
      </c>
      <c r="H265" s="12">
        <v>599</v>
      </c>
      <c r="I265" s="12">
        <v>2001</v>
      </c>
      <c r="J265" s="13">
        <v>67839</v>
      </c>
      <c r="K265" s="12">
        <v>76059</v>
      </c>
      <c r="L265" s="3" t="s">
        <v>33</v>
      </c>
      <c r="M265" s="30">
        <f>(F265 + G265 + H265 ) / K265</f>
        <v>0.22216963147030594</v>
      </c>
    </row>
    <row r="266" spans="1:15" ht="14.25" customHeight="1">
      <c r="A266" s="3" t="s">
        <v>456</v>
      </c>
      <c r="B266" s="3" t="s">
        <v>14</v>
      </c>
      <c r="C266" s="29" t="s">
        <v>457</v>
      </c>
      <c r="D266" s="3" t="s">
        <v>16</v>
      </c>
      <c r="E266" s="3" t="s">
        <v>27</v>
      </c>
      <c r="F266" s="12">
        <v>20290</v>
      </c>
      <c r="G266" s="12">
        <v>619</v>
      </c>
      <c r="H266" s="12">
        <v>927</v>
      </c>
      <c r="I266" s="12">
        <v>1186</v>
      </c>
      <c r="J266" s="13">
        <v>8924</v>
      </c>
      <c r="K266" s="12">
        <v>96503</v>
      </c>
      <c r="L266" s="3" t="s">
        <v>18</v>
      </c>
      <c r="M266" s="30">
        <f>(F266 + G266 + H266 ) / K266</f>
        <v>0.22627275835984373</v>
      </c>
    </row>
    <row r="267" spans="1:15" ht="14.25" customHeight="1">
      <c r="A267" s="3" t="s">
        <v>458</v>
      </c>
      <c r="B267" s="3" t="s">
        <v>62</v>
      </c>
      <c r="C267" s="29" t="s">
        <v>459</v>
      </c>
      <c r="D267" s="3" t="s">
        <v>16</v>
      </c>
      <c r="E267" s="3" t="s">
        <v>67</v>
      </c>
      <c r="F267" s="12">
        <v>21856</v>
      </c>
      <c r="G267" s="12">
        <v>1203</v>
      </c>
      <c r="H267" s="12">
        <v>634</v>
      </c>
      <c r="I267" s="12">
        <v>2807</v>
      </c>
      <c r="J267" s="13">
        <v>3647</v>
      </c>
      <c r="K267" s="12">
        <v>104178</v>
      </c>
      <c r="L267" s="3" t="s">
        <v>24</v>
      </c>
      <c r="M267" s="30">
        <f>(F267 + G267 + H267 ) / K267</f>
        <v>0.22742805582752595</v>
      </c>
    </row>
    <row r="268" spans="1:15" ht="14.25" customHeight="1">
      <c r="A268" s="3" t="s">
        <v>460</v>
      </c>
      <c r="B268" s="3" t="s">
        <v>20</v>
      </c>
      <c r="C268" s="29">
        <v>45919</v>
      </c>
      <c r="D268" s="3" t="s">
        <v>35</v>
      </c>
      <c r="E268" s="3" t="s">
        <v>46</v>
      </c>
      <c r="F268" s="12">
        <v>22128</v>
      </c>
      <c r="G268" s="12">
        <v>1004</v>
      </c>
      <c r="H268" s="12">
        <v>690</v>
      </c>
      <c r="I268" s="12">
        <v>2048</v>
      </c>
      <c r="J268" s="13">
        <v>19443</v>
      </c>
      <c r="K268" s="12">
        <v>103646</v>
      </c>
      <c r="L268" s="3" t="s">
        <v>37</v>
      </c>
      <c r="M268" s="30">
        <f>(F268 + G268 + H268 ) / K268</f>
        <v>0.22984003241803833</v>
      </c>
    </row>
    <row r="269" spans="1:15" ht="14.25" customHeight="1">
      <c r="A269" s="3" t="s">
        <v>461</v>
      </c>
      <c r="B269" s="3" t="s">
        <v>20</v>
      </c>
      <c r="C269" s="29" t="s">
        <v>462</v>
      </c>
      <c r="D269" s="3" t="s">
        <v>16</v>
      </c>
      <c r="E269" s="3" t="s">
        <v>51</v>
      </c>
      <c r="F269" s="12">
        <v>16489</v>
      </c>
      <c r="G269" s="12">
        <v>395</v>
      </c>
      <c r="H269" s="12">
        <v>350</v>
      </c>
      <c r="I269" s="12">
        <v>2364</v>
      </c>
      <c r="J269" s="13">
        <v>43239</v>
      </c>
      <c r="K269" s="12">
        <v>73397</v>
      </c>
      <c r="L269" s="3" t="s">
        <v>18</v>
      </c>
      <c r="M269" s="30">
        <f>(F269 + G269 + H269 ) / K269</f>
        <v>0.23480523727127811</v>
      </c>
    </row>
    <row r="270" spans="1:15" ht="14.25" customHeight="1">
      <c r="A270" s="3" t="s">
        <v>463</v>
      </c>
      <c r="B270" s="3" t="s">
        <v>44</v>
      </c>
      <c r="C270" s="29" t="s">
        <v>417</v>
      </c>
      <c r="D270" s="3" t="s">
        <v>22</v>
      </c>
      <c r="E270" s="3" t="s">
        <v>60</v>
      </c>
      <c r="F270" s="12">
        <v>24890</v>
      </c>
      <c r="G270" s="12">
        <v>217</v>
      </c>
      <c r="H270" s="12">
        <v>178</v>
      </c>
      <c r="I270" s="12">
        <v>906</v>
      </c>
      <c r="J270" s="13">
        <v>54826</v>
      </c>
      <c r="K270" s="12">
        <v>107203</v>
      </c>
      <c r="L270" s="3" t="s">
        <v>28</v>
      </c>
      <c r="M270" s="30">
        <f>(F270 + G270 + H270 ) / K270</f>
        <v>0.23586093672751696</v>
      </c>
      <c r="O270" s="8"/>
    </row>
    <row r="271" spans="1:15" ht="14.25" customHeight="1">
      <c r="A271" s="3" t="s">
        <v>464</v>
      </c>
      <c r="B271" s="3" t="s">
        <v>44</v>
      </c>
      <c r="C271" s="29" t="s">
        <v>15</v>
      </c>
      <c r="D271" s="3" t="s">
        <v>16</v>
      </c>
      <c r="E271" s="3" t="s">
        <v>32</v>
      </c>
      <c r="F271" s="12">
        <v>18644</v>
      </c>
      <c r="G271" s="12">
        <v>1369</v>
      </c>
      <c r="H271" s="12">
        <v>887</v>
      </c>
      <c r="I271" s="12">
        <v>1256</v>
      </c>
      <c r="J271" s="13">
        <v>43415</v>
      </c>
      <c r="K271" s="12">
        <v>88368</v>
      </c>
      <c r="L271" s="3" t="s">
        <v>28</v>
      </c>
      <c r="M271" s="30">
        <f>(F271 + G271 + H271 ) / K271</f>
        <v>0.23651095419156257</v>
      </c>
    </row>
    <row r="272" spans="1:15" ht="14.25" customHeight="1">
      <c r="A272" s="3" t="s">
        <v>465</v>
      </c>
      <c r="B272" s="3" t="s">
        <v>14</v>
      </c>
      <c r="C272" s="29">
        <v>45905</v>
      </c>
      <c r="D272" s="3" t="s">
        <v>31</v>
      </c>
      <c r="E272" s="3" t="s">
        <v>88</v>
      </c>
      <c r="F272" s="12">
        <v>14677</v>
      </c>
      <c r="G272" s="12">
        <v>533</v>
      </c>
      <c r="H272" s="12">
        <v>759</v>
      </c>
      <c r="I272" s="12">
        <v>753</v>
      </c>
      <c r="J272" s="13">
        <v>23275</v>
      </c>
      <c r="K272" s="12">
        <v>66958</v>
      </c>
      <c r="L272" s="3" t="s">
        <v>37</v>
      </c>
      <c r="M272" s="30">
        <f>(F272 + G272 + H272 ) / K272</f>
        <v>0.23849278652289496</v>
      </c>
    </row>
    <row r="273" spans="1:13" ht="14.25" customHeight="1">
      <c r="A273" s="3" t="s">
        <v>466</v>
      </c>
      <c r="B273" s="3" t="s">
        <v>20</v>
      </c>
      <c r="C273" s="29" t="s">
        <v>467</v>
      </c>
      <c r="D273" s="3" t="s">
        <v>16</v>
      </c>
      <c r="E273" s="3" t="s">
        <v>46</v>
      </c>
      <c r="F273" s="12">
        <v>23164</v>
      </c>
      <c r="G273" s="12">
        <v>1122</v>
      </c>
      <c r="H273" s="12">
        <v>900</v>
      </c>
      <c r="I273" s="12">
        <v>888</v>
      </c>
      <c r="J273" s="13">
        <v>36938</v>
      </c>
      <c r="K273" s="12">
        <v>104674</v>
      </c>
      <c r="L273" s="3" t="s">
        <v>33</v>
      </c>
      <c r="M273" s="30">
        <f>(F273 + G273 + H273 ) / K273</f>
        <v>0.24061371496264594</v>
      </c>
    </row>
    <row r="274" spans="1:13" ht="14.25" customHeight="1">
      <c r="A274" s="3" t="s">
        <v>468</v>
      </c>
      <c r="B274" s="3" t="s">
        <v>44</v>
      </c>
      <c r="C274" s="29" t="s">
        <v>57</v>
      </c>
      <c r="D274" s="3" t="s">
        <v>35</v>
      </c>
      <c r="E274" s="3" t="s">
        <v>103</v>
      </c>
      <c r="F274" s="12">
        <v>22590</v>
      </c>
      <c r="G274" s="12">
        <v>1462</v>
      </c>
      <c r="H274" s="12">
        <v>966</v>
      </c>
      <c r="I274" s="12">
        <v>2463</v>
      </c>
      <c r="J274" s="13">
        <v>29689</v>
      </c>
      <c r="K274" s="12">
        <v>103449</v>
      </c>
      <c r="L274" s="3" t="s">
        <v>28</v>
      </c>
      <c r="M274" s="30">
        <f>(F274 + G274 + H274 ) / K274</f>
        <v>0.24183897379385011</v>
      </c>
    </row>
    <row r="275" spans="1:13" ht="14.25" customHeight="1">
      <c r="A275" s="3" t="s">
        <v>469</v>
      </c>
      <c r="B275" s="3" t="s">
        <v>62</v>
      </c>
      <c r="C275" s="29" t="s">
        <v>124</v>
      </c>
      <c r="D275" s="3" t="s">
        <v>16</v>
      </c>
      <c r="E275" s="3" t="s">
        <v>88</v>
      </c>
      <c r="F275" s="12">
        <v>17254</v>
      </c>
      <c r="G275" s="12">
        <v>246</v>
      </c>
      <c r="H275" s="12">
        <v>952</v>
      </c>
      <c r="I275" s="12">
        <v>871</v>
      </c>
      <c r="J275" s="13">
        <v>14957</v>
      </c>
      <c r="K275" s="12">
        <v>75946</v>
      </c>
      <c r="L275" s="3" t="s">
        <v>18</v>
      </c>
      <c r="M275" s="30">
        <f>(F275 + G275 + H275 ) / K275</f>
        <v>0.24296210465330631</v>
      </c>
    </row>
    <row r="276" spans="1:13" ht="14.25" customHeight="1">
      <c r="A276" s="3" t="s">
        <v>470</v>
      </c>
      <c r="B276" s="3" t="s">
        <v>44</v>
      </c>
      <c r="C276" s="29">
        <v>45913</v>
      </c>
      <c r="D276" s="3" t="s">
        <v>22</v>
      </c>
      <c r="E276" s="3" t="s">
        <v>40</v>
      </c>
      <c r="F276" s="12">
        <v>15046</v>
      </c>
      <c r="G276" s="12">
        <v>281</v>
      </c>
      <c r="H276" s="12">
        <v>515</v>
      </c>
      <c r="I276" s="12">
        <v>550</v>
      </c>
      <c r="J276" s="13">
        <v>22583</v>
      </c>
      <c r="K276" s="12">
        <v>64596</v>
      </c>
      <c r="L276" s="3" t="s">
        <v>37</v>
      </c>
      <c r="M276" s="30">
        <f>(F276 + G276 + H276 ) / K276</f>
        <v>0.24524738373893121</v>
      </c>
    </row>
    <row r="277" spans="1:13" ht="14.25" customHeight="1">
      <c r="A277" s="3" t="s">
        <v>471</v>
      </c>
      <c r="B277" s="3" t="s">
        <v>62</v>
      </c>
      <c r="C277" s="29">
        <v>45908</v>
      </c>
      <c r="D277" s="3" t="s">
        <v>16</v>
      </c>
      <c r="E277" s="3" t="s">
        <v>40</v>
      </c>
      <c r="F277" s="12">
        <v>22309</v>
      </c>
      <c r="G277" s="12">
        <v>773</v>
      </c>
      <c r="H277" s="12">
        <v>854</v>
      </c>
      <c r="I277" s="12">
        <v>2387</v>
      </c>
      <c r="J277" s="13">
        <v>72396</v>
      </c>
      <c r="K277" s="12">
        <v>97056</v>
      </c>
      <c r="L277" s="3" t="s">
        <v>37</v>
      </c>
      <c r="M277" s="30">
        <f>(F277 + G277 + H277 ) / K277</f>
        <v>0.24662050774810418</v>
      </c>
    </row>
    <row r="278" spans="1:13" ht="14.25" customHeight="1">
      <c r="A278" s="3" t="s">
        <v>472</v>
      </c>
      <c r="B278" s="3" t="s">
        <v>20</v>
      </c>
      <c r="C278" s="29" t="s">
        <v>473</v>
      </c>
      <c r="D278" s="3" t="s">
        <v>22</v>
      </c>
      <c r="E278" s="3" t="s">
        <v>36</v>
      </c>
      <c r="F278" s="12">
        <v>14199</v>
      </c>
      <c r="G278" s="12">
        <v>1206</v>
      </c>
      <c r="H278" s="12">
        <v>954</v>
      </c>
      <c r="I278" s="12">
        <v>2009</v>
      </c>
      <c r="J278" s="13">
        <v>8</v>
      </c>
      <c r="K278" s="12">
        <v>65537</v>
      </c>
      <c r="L278" s="3" t="s">
        <v>28</v>
      </c>
      <c r="M278" s="30">
        <f>(F278 + G278 + H278 ) / K278</f>
        <v>0.24961472145505592</v>
      </c>
    </row>
    <row r="279" spans="1:13" ht="14.25" customHeight="1">
      <c r="A279" s="3" t="s">
        <v>474</v>
      </c>
      <c r="B279" s="3" t="s">
        <v>14</v>
      </c>
      <c r="C279" s="29" t="s">
        <v>475</v>
      </c>
      <c r="D279" s="3" t="s">
        <v>22</v>
      </c>
      <c r="E279" s="3" t="s">
        <v>40</v>
      </c>
      <c r="F279" s="12">
        <v>16124</v>
      </c>
      <c r="G279" s="12">
        <v>863</v>
      </c>
      <c r="H279" s="12">
        <v>337</v>
      </c>
      <c r="I279" s="12">
        <v>819</v>
      </c>
      <c r="J279" s="13">
        <v>85788</v>
      </c>
      <c r="K279" s="12">
        <v>68625</v>
      </c>
      <c r="L279" s="3" t="s">
        <v>24</v>
      </c>
      <c r="M279" s="30">
        <f>(F279 + G279 + H279 ) / K279</f>
        <v>0.25244444444444447</v>
      </c>
    </row>
    <row r="280" spans="1:13" ht="14.25" customHeight="1">
      <c r="A280" s="3" t="s">
        <v>476</v>
      </c>
      <c r="B280" s="3" t="s">
        <v>14</v>
      </c>
      <c r="C280" s="29" t="s">
        <v>467</v>
      </c>
      <c r="D280" s="3" t="s">
        <v>31</v>
      </c>
      <c r="E280" s="3" t="s">
        <v>103</v>
      </c>
      <c r="F280" s="12">
        <v>14173</v>
      </c>
      <c r="G280" s="12">
        <v>294</v>
      </c>
      <c r="H280" s="12">
        <v>257</v>
      </c>
      <c r="I280" s="12">
        <v>1288</v>
      </c>
      <c r="J280" s="13">
        <v>39466</v>
      </c>
      <c r="K280" s="12">
        <v>55563</v>
      </c>
      <c r="L280" s="3" t="s">
        <v>18</v>
      </c>
      <c r="M280" s="30">
        <f>(F280 + G280 + H280 ) / K280</f>
        <v>0.26499649047027696</v>
      </c>
    </row>
    <row r="281" spans="1:13" ht="14.25" customHeight="1">
      <c r="A281" s="3" t="s">
        <v>477</v>
      </c>
      <c r="B281" s="3" t="s">
        <v>20</v>
      </c>
      <c r="C281" s="29">
        <v>45904</v>
      </c>
      <c r="D281" s="3" t="s">
        <v>22</v>
      </c>
      <c r="E281" s="3" t="s">
        <v>103</v>
      </c>
      <c r="F281" s="12">
        <v>21708</v>
      </c>
      <c r="G281" s="12">
        <v>435</v>
      </c>
      <c r="H281" s="12">
        <v>317</v>
      </c>
      <c r="I281" s="12">
        <v>1213</v>
      </c>
      <c r="J281" s="13">
        <v>23275</v>
      </c>
      <c r="K281" s="12">
        <v>83585</v>
      </c>
      <c r="L281" s="3" t="s">
        <v>37</v>
      </c>
      <c r="M281" s="30">
        <f>(F281 + G281 + H281 ) / K281</f>
        <v>0.26870850032900639</v>
      </c>
    </row>
    <row r="282" spans="1:13" ht="14.25" customHeight="1">
      <c r="A282" s="3" t="s">
        <v>478</v>
      </c>
      <c r="B282" s="3" t="s">
        <v>44</v>
      </c>
      <c r="C282" s="29">
        <v>45932</v>
      </c>
      <c r="D282" s="3" t="s">
        <v>16</v>
      </c>
      <c r="E282" s="3" t="s">
        <v>60</v>
      </c>
      <c r="F282" s="12">
        <v>12161</v>
      </c>
      <c r="G282" s="12">
        <v>736</v>
      </c>
      <c r="H282" s="12">
        <v>876</v>
      </c>
      <c r="I282" s="12">
        <v>1233</v>
      </c>
      <c r="J282" s="13">
        <v>21337</v>
      </c>
      <c r="K282" s="12">
        <v>50225</v>
      </c>
      <c r="L282" s="3" t="s">
        <v>37</v>
      </c>
      <c r="M282" s="30">
        <f>(F282 + G282 + H282 ) / K282</f>
        <v>0.27422598307615731</v>
      </c>
    </row>
    <row r="283" spans="1:13" ht="14.25" customHeight="1">
      <c r="A283" s="3" t="s">
        <v>479</v>
      </c>
      <c r="B283" s="3" t="s">
        <v>62</v>
      </c>
      <c r="C283" s="29">
        <v>45918</v>
      </c>
      <c r="D283" s="3" t="s">
        <v>35</v>
      </c>
      <c r="E283" s="3" t="s">
        <v>51</v>
      </c>
      <c r="F283" s="12">
        <v>10152</v>
      </c>
      <c r="G283" s="12">
        <v>1445</v>
      </c>
      <c r="H283" s="12">
        <v>526</v>
      </c>
      <c r="I283" s="12">
        <v>513</v>
      </c>
      <c r="J283" s="13">
        <v>18959</v>
      </c>
      <c r="K283" s="12">
        <v>43712</v>
      </c>
      <c r="L283" s="3" t="s">
        <v>37</v>
      </c>
      <c r="M283" s="30">
        <f>(F283 + G283 + H283 ) / K283</f>
        <v>0.27733803074670571</v>
      </c>
    </row>
    <row r="284" spans="1:13" ht="14.25" customHeight="1">
      <c r="A284" s="3" t="s">
        <v>480</v>
      </c>
      <c r="B284" s="3" t="s">
        <v>44</v>
      </c>
      <c r="C284" s="29" t="s">
        <v>481</v>
      </c>
      <c r="D284" s="3" t="s">
        <v>16</v>
      </c>
      <c r="E284" s="3" t="s">
        <v>88</v>
      </c>
      <c r="F284" s="12">
        <v>17781</v>
      </c>
      <c r="G284" s="12">
        <v>993</v>
      </c>
      <c r="H284" s="12">
        <v>627</v>
      </c>
      <c r="I284" s="12">
        <v>2187</v>
      </c>
      <c r="J284" s="13">
        <v>9609</v>
      </c>
      <c r="K284" s="12">
        <v>66155</v>
      </c>
      <c r="L284" s="3" t="s">
        <v>24</v>
      </c>
      <c r="M284" s="30">
        <f>(F284 + G284 + H284 ) / K284</f>
        <v>0.29326581513113142</v>
      </c>
    </row>
    <row r="285" spans="1:13" ht="14.25" customHeight="1">
      <c r="A285" s="3" t="s">
        <v>482</v>
      </c>
      <c r="B285" s="3" t="s">
        <v>44</v>
      </c>
      <c r="C285" s="29" t="s">
        <v>259</v>
      </c>
      <c r="D285" s="3" t="s">
        <v>35</v>
      </c>
      <c r="E285" s="3" t="s">
        <v>32</v>
      </c>
      <c r="F285" s="12">
        <v>14891</v>
      </c>
      <c r="G285" s="12">
        <v>674</v>
      </c>
      <c r="H285" s="12">
        <v>521</v>
      </c>
      <c r="I285" s="12">
        <v>1091</v>
      </c>
      <c r="J285" s="13">
        <v>18101</v>
      </c>
      <c r="K285" s="12">
        <v>53669</v>
      </c>
      <c r="L285" s="3" t="s">
        <v>33</v>
      </c>
      <c r="M285" s="30">
        <f>(F285 + G285 + H285 ) / K285</f>
        <v>0.29972609886526674</v>
      </c>
    </row>
    <row r="286" spans="1:13" ht="14.25" customHeight="1">
      <c r="A286" s="3" t="s">
        <v>483</v>
      </c>
      <c r="B286" s="3" t="s">
        <v>20</v>
      </c>
      <c r="C286" s="29" t="s">
        <v>347</v>
      </c>
      <c r="D286" s="3" t="s">
        <v>22</v>
      </c>
      <c r="E286" s="3" t="s">
        <v>51</v>
      </c>
      <c r="F286" s="12">
        <v>18282</v>
      </c>
      <c r="G286" s="12">
        <v>224</v>
      </c>
      <c r="H286" s="12">
        <v>962</v>
      </c>
      <c r="I286" s="12">
        <v>890</v>
      </c>
      <c r="J286" s="13">
        <v>35105</v>
      </c>
      <c r="K286" s="12">
        <v>64089</v>
      </c>
      <c r="L286" s="3" t="s">
        <v>24</v>
      </c>
      <c r="M286" s="30">
        <f>(F286 + G286 + H286 ) / K286</f>
        <v>0.30376507669022768</v>
      </c>
    </row>
    <row r="287" spans="1:13" ht="14.25" customHeight="1">
      <c r="A287" s="3" t="s">
        <v>484</v>
      </c>
      <c r="B287" s="3" t="s">
        <v>14</v>
      </c>
      <c r="C287" s="29" t="s">
        <v>485</v>
      </c>
      <c r="D287" s="3" t="s">
        <v>31</v>
      </c>
      <c r="E287" s="3" t="s">
        <v>36</v>
      </c>
      <c r="F287" s="12">
        <v>16178</v>
      </c>
      <c r="G287" s="12">
        <v>1048</v>
      </c>
      <c r="H287" s="12">
        <v>871</v>
      </c>
      <c r="I287" s="12">
        <v>2553</v>
      </c>
      <c r="J287" s="13">
        <v>39025</v>
      </c>
      <c r="K287" s="12">
        <v>59508</v>
      </c>
      <c r="L287" s="3" t="s">
        <v>33</v>
      </c>
      <c r="M287" s="30">
        <f>(F287 + G287 + H287 ) / K287</f>
        <v>0.30411037171472743</v>
      </c>
    </row>
    <row r="288" spans="1:13" ht="14.25" customHeight="1">
      <c r="A288" s="3" t="s">
        <v>486</v>
      </c>
      <c r="B288" s="3" t="s">
        <v>62</v>
      </c>
      <c r="C288" s="29" t="s">
        <v>381</v>
      </c>
      <c r="D288" s="3" t="s">
        <v>22</v>
      </c>
      <c r="E288" s="3" t="s">
        <v>60</v>
      </c>
      <c r="F288" s="12">
        <v>17913</v>
      </c>
      <c r="G288" s="12">
        <v>1311</v>
      </c>
      <c r="H288" s="12">
        <v>859</v>
      </c>
      <c r="I288" s="12">
        <v>405</v>
      </c>
      <c r="J288" s="13">
        <v>59842</v>
      </c>
      <c r="K288" s="12">
        <v>62612</v>
      </c>
      <c r="L288" s="3" t="s">
        <v>28</v>
      </c>
      <c r="M288" s="30">
        <f>(F288 + G288 + H288 ) / K288</f>
        <v>0.32075321024723696</v>
      </c>
    </row>
    <row r="289" spans="1:15" ht="14.25" customHeight="1">
      <c r="A289" s="3" t="s">
        <v>487</v>
      </c>
      <c r="B289" s="3" t="s">
        <v>44</v>
      </c>
      <c r="C289" s="29" t="s">
        <v>488</v>
      </c>
      <c r="D289" s="3" t="s">
        <v>16</v>
      </c>
      <c r="E289" s="3" t="s">
        <v>17</v>
      </c>
      <c r="F289" s="12">
        <v>24350</v>
      </c>
      <c r="G289" s="12">
        <v>460</v>
      </c>
      <c r="H289" s="12">
        <v>666</v>
      </c>
      <c r="I289" s="12">
        <v>814</v>
      </c>
      <c r="J289" s="13"/>
      <c r="K289" s="12">
        <v>76914</v>
      </c>
      <c r="L289" s="3" t="s">
        <v>33</v>
      </c>
      <c r="M289" s="30">
        <f>(F289 + G289 + H289 ) / K289</f>
        <v>0.33122708479600593</v>
      </c>
      <c r="O289" s="8"/>
    </row>
    <row r="290" spans="1:15" ht="14.25" customHeight="1">
      <c r="A290" s="3" t="s">
        <v>489</v>
      </c>
      <c r="B290" s="3" t="s">
        <v>14</v>
      </c>
      <c r="C290" s="29" t="s">
        <v>222</v>
      </c>
      <c r="D290" s="3" t="s">
        <v>16</v>
      </c>
      <c r="E290" s="3" t="s">
        <v>103</v>
      </c>
      <c r="F290" s="12">
        <v>13479</v>
      </c>
      <c r="G290" s="12">
        <v>1189</v>
      </c>
      <c r="H290" s="12">
        <v>695</v>
      </c>
      <c r="I290" s="12">
        <v>416</v>
      </c>
      <c r="J290" s="13">
        <v>30229</v>
      </c>
      <c r="K290" s="12">
        <v>45704</v>
      </c>
      <c r="L290" s="3" t="s">
        <v>33</v>
      </c>
      <c r="M290" s="30">
        <f>(F290 + G290 + H290 ) / K290</f>
        <v>0.33614125678277612</v>
      </c>
    </row>
    <row r="291" spans="1:15" ht="14.25" customHeight="1">
      <c r="A291" s="3" t="s">
        <v>490</v>
      </c>
      <c r="B291" s="3" t="s">
        <v>62</v>
      </c>
      <c r="C291" s="29" t="s">
        <v>491</v>
      </c>
      <c r="D291" s="3" t="s">
        <v>16</v>
      </c>
      <c r="E291" s="3" t="s">
        <v>46</v>
      </c>
      <c r="F291" s="12">
        <v>23833</v>
      </c>
      <c r="G291" s="12">
        <v>555</v>
      </c>
      <c r="H291" s="12">
        <v>523</v>
      </c>
      <c r="I291" s="12">
        <v>1330</v>
      </c>
      <c r="J291" s="13">
        <v>69141</v>
      </c>
      <c r="K291" s="12">
        <v>73997</v>
      </c>
      <c r="L291" s="3" t="s">
        <v>24</v>
      </c>
      <c r="M291" s="30">
        <f>(F291 + G291 + H291 ) / K291</f>
        <v>0.33664878305877266</v>
      </c>
    </row>
    <row r="292" spans="1:15" ht="14.25" customHeight="1">
      <c r="A292" s="3" t="s">
        <v>492</v>
      </c>
      <c r="B292" s="3" t="s">
        <v>44</v>
      </c>
      <c r="C292" s="29" t="s">
        <v>493</v>
      </c>
      <c r="D292" s="3" t="s">
        <v>31</v>
      </c>
      <c r="E292" s="3" t="s">
        <v>36</v>
      </c>
      <c r="F292" s="12">
        <v>21181</v>
      </c>
      <c r="G292" s="12">
        <v>1242</v>
      </c>
      <c r="H292" s="12">
        <v>963</v>
      </c>
      <c r="I292" s="12">
        <v>1689</v>
      </c>
      <c r="J292" s="13">
        <v>49329</v>
      </c>
      <c r="K292" s="12">
        <v>69165</v>
      </c>
      <c r="L292" s="3" t="s">
        <v>33</v>
      </c>
      <c r="M292" s="30">
        <f>(F292 + G292 + H292 ) / K292</f>
        <v>0.33811899081905589</v>
      </c>
    </row>
    <row r="293" spans="1:15" ht="14.25" customHeight="1">
      <c r="A293" s="3" t="s">
        <v>494</v>
      </c>
      <c r="B293" s="3" t="s">
        <v>62</v>
      </c>
      <c r="C293" s="29">
        <v>45909</v>
      </c>
      <c r="D293" s="3" t="s">
        <v>31</v>
      </c>
      <c r="E293" s="3" t="s">
        <v>32</v>
      </c>
      <c r="F293" s="12">
        <v>19260</v>
      </c>
      <c r="G293" s="12">
        <v>668</v>
      </c>
      <c r="H293" s="12">
        <v>994</v>
      </c>
      <c r="I293" s="12">
        <v>934</v>
      </c>
      <c r="J293" s="13">
        <v>20509</v>
      </c>
      <c r="K293" s="12">
        <v>61636</v>
      </c>
      <c r="L293" s="3" t="s">
        <v>37</v>
      </c>
      <c r="M293" s="30">
        <f>(F293 + G293 + H293 ) / K293</f>
        <v>0.33944448049841003</v>
      </c>
    </row>
    <row r="294" spans="1:15" ht="14.25" customHeight="1">
      <c r="A294" s="3" t="s">
        <v>495</v>
      </c>
      <c r="B294" s="3" t="s">
        <v>62</v>
      </c>
      <c r="C294" s="29">
        <v>45908</v>
      </c>
      <c r="D294" s="3" t="s">
        <v>35</v>
      </c>
      <c r="E294" s="3" t="s">
        <v>46</v>
      </c>
      <c r="F294" s="12">
        <v>23785</v>
      </c>
      <c r="G294" s="12">
        <v>1013</v>
      </c>
      <c r="H294" s="12">
        <v>468</v>
      </c>
      <c r="I294" s="12">
        <v>1628</v>
      </c>
      <c r="J294" s="13">
        <v>8272</v>
      </c>
      <c r="K294" s="12">
        <v>71348</v>
      </c>
      <c r="L294" s="3" t="s">
        <v>37</v>
      </c>
      <c r="M294" s="30">
        <f>(F294 + G294 + H294 ) / K294</f>
        <v>0.35412345125301342</v>
      </c>
    </row>
    <row r="295" spans="1:15" ht="14.25" customHeight="1">
      <c r="A295" s="3" t="s">
        <v>496</v>
      </c>
      <c r="B295" s="3" t="s">
        <v>44</v>
      </c>
      <c r="C295" s="29" t="s">
        <v>326</v>
      </c>
      <c r="D295" s="3" t="s">
        <v>22</v>
      </c>
      <c r="E295" s="3" t="s">
        <v>23</v>
      </c>
      <c r="F295" s="12">
        <v>14977</v>
      </c>
      <c r="G295" s="12">
        <v>274</v>
      </c>
      <c r="H295" s="12">
        <v>798</v>
      </c>
      <c r="I295" s="12">
        <v>458</v>
      </c>
      <c r="J295" s="13">
        <v>6636</v>
      </c>
      <c r="K295" s="12">
        <v>43654</v>
      </c>
      <c r="L295" s="3" t="s">
        <v>33</v>
      </c>
      <c r="M295" s="30">
        <f>(F295 + G295 + H295 ) / K295</f>
        <v>0.36764099509781462</v>
      </c>
    </row>
    <row r="296" spans="1:15" ht="14.25" customHeight="1">
      <c r="A296" s="3" t="s">
        <v>497</v>
      </c>
      <c r="B296" s="3" t="s">
        <v>62</v>
      </c>
      <c r="C296" s="29" t="s">
        <v>459</v>
      </c>
      <c r="D296" s="3" t="s">
        <v>22</v>
      </c>
      <c r="E296" s="3" t="s">
        <v>17</v>
      </c>
      <c r="F296" s="12">
        <v>17183</v>
      </c>
      <c r="G296" s="12">
        <v>1224</v>
      </c>
      <c r="H296" s="12">
        <v>943</v>
      </c>
      <c r="I296" s="12">
        <v>2010</v>
      </c>
      <c r="J296" s="13">
        <v>21481</v>
      </c>
      <c r="K296" s="12">
        <v>49110</v>
      </c>
      <c r="L296" s="3" t="s">
        <v>28</v>
      </c>
      <c r="M296" s="30">
        <f>(F296 + G296 + H296 ) / K296</f>
        <v>0.39401343921808185</v>
      </c>
    </row>
    <row r="297" spans="1:15" ht="14.25" customHeight="1">
      <c r="A297" s="3" t="s">
        <v>498</v>
      </c>
      <c r="B297" s="3" t="s">
        <v>20</v>
      </c>
      <c r="C297" s="29" t="s">
        <v>499</v>
      </c>
      <c r="D297" s="3" t="s">
        <v>16</v>
      </c>
      <c r="E297" s="3" t="s">
        <v>32</v>
      </c>
      <c r="F297" s="12">
        <v>21255</v>
      </c>
      <c r="G297" s="12">
        <v>1452</v>
      </c>
      <c r="H297" s="12">
        <v>625</v>
      </c>
      <c r="I297" s="12">
        <v>1624</v>
      </c>
      <c r="J297" s="13">
        <v>23275</v>
      </c>
      <c r="K297" s="12">
        <v>57778</v>
      </c>
      <c r="L297" s="3" t="s">
        <v>18</v>
      </c>
      <c r="M297" s="30">
        <f>(F297 + G297 + H297 ) / K297</f>
        <v>0.40382152376337016</v>
      </c>
    </row>
    <row r="298" spans="1:15" ht="14.25" customHeight="1">
      <c r="A298" s="3" t="s">
        <v>500</v>
      </c>
      <c r="B298" s="3" t="s">
        <v>62</v>
      </c>
      <c r="C298" s="29" t="s">
        <v>256</v>
      </c>
      <c r="D298" s="3" t="s">
        <v>31</v>
      </c>
      <c r="E298" s="3" t="s">
        <v>17</v>
      </c>
      <c r="F298" s="12">
        <v>24415</v>
      </c>
      <c r="G298" s="12">
        <v>860</v>
      </c>
      <c r="H298" s="12">
        <v>931</v>
      </c>
      <c r="I298" s="12">
        <v>320</v>
      </c>
      <c r="J298" s="13">
        <v>65049</v>
      </c>
      <c r="K298" s="12">
        <v>62911</v>
      </c>
      <c r="L298" s="3" t="s">
        <v>33</v>
      </c>
      <c r="M298" s="30">
        <f>(F298 + G298 + H298 ) / K298</f>
        <v>0.41655672298962027</v>
      </c>
    </row>
    <row r="299" spans="1:15" ht="14.25" customHeight="1">
      <c r="A299" s="3" t="s">
        <v>501</v>
      </c>
      <c r="B299" s="3" t="s">
        <v>14</v>
      </c>
      <c r="C299" s="29" t="s">
        <v>57</v>
      </c>
      <c r="D299" s="3" t="s">
        <v>22</v>
      </c>
      <c r="E299" s="3" t="s">
        <v>103</v>
      </c>
      <c r="F299" s="12">
        <v>19144</v>
      </c>
      <c r="G299" s="12">
        <v>1182</v>
      </c>
      <c r="H299" s="12">
        <v>860</v>
      </c>
      <c r="I299" s="12">
        <v>1398</v>
      </c>
      <c r="J299" s="13">
        <v>4185</v>
      </c>
      <c r="K299" s="12">
        <v>46570</v>
      </c>
      <c r="L299" s="3" t="s">
        <v>33</v>
      </c>
      <c r="M299" s="30">
        <f>(F299 + G299 + H299 ) / K299</f>
        <v>0.454928065278076</v>
      </c>
    </row>
    <row r="300" spans="1:15" ht="14.25" customHeight="1">
      <c r="A300" s="3" t="s">
        <v>502</v>
      </c>
      <c r="B300" s="3" t="s">
        <v>20</v>
      </c>
      <c r="C300" s="29" t="s">
        <v>156</v>
      </c>
      <c r="D300" s="3" t="s">
        <v>35</v>
      </c>
      <c r="E300" s="3" t="s">
        <v>88</v>
      </c>
      <c r="F300" s="12">
        <v>20360</v>
      </c>
      <c r="G300" s="12">
        <v>254</v>
      </c>
      <c r="H300" s="12">
        <v>726</v>
      </c>
      <c r="I300" s="12">
        <v>1995</v>
      </c>
      <c r="J300" s="13">
        <v>14280</v>
      </c>
      <c r="K300" s="12">
        <v>43726</v>
      </c>
      <c r="L300" s="3" t="s">
        <v>24</v>
      </c>
      <c r="M300" s="30">
        <f>(F300 + G300 + H300 ) / K300</f>
        <v>0.48803915290673738</v>
      </c>
    </row>
    <row r="301" spans="1:15" ht="14.25" customHeight="1">
      <c r="A301" s="3" t="s">
        <v>503</v>
      </c>
      <c r="B301" s="3" t="s">
        <v>14</v>
      </c>
      <c r="C301" s="29" t="s">
        <v>504</v>
      </c>
      <c r="D301" s="3" t="s">
        <v>22</v>
      </c>
      <c r="E301" s="3" t="s">
        <v>32</v>
      </c>
      <c r="F301" s="12">
        <v>22914</v>
      </c>
      <c r="G301" s="12">
        <v>954</v>
      </c>
      <c r="H301" s="12">
        <v>584</v>
      </c>
      <c r="I301" s="12">
        <v>1519</v>
      </c>
      <c r="J301" s="13">
        <v>13637</v>
      </c>
      <c r="K301" s="12">
        <v>49847</v>
      </c>
      <c r="L301" s="3" t="s">
        <v>33</v>
      </c>
      <c r="M301" s="30">
        <f>(F301 + G301 + H301 ) / K301</f>
        <v>0.49054105563022848</v>
      </c>
    </row>
    <row r="302" spans="1:15" ht="14.25" customHeight="1">
      <c r="J302" s="6"/>
      <c r="M302" s="30"/>
    </row>
    <row r="303" spans="1:15" ht="14.25" customHeight="1">
      <c r="J303" s="6"/>
      <c r="M303" s="30"/>
    </row>
    <row r="304" spans="1:15" ht="14.25" customHeight="1">
      <c r="A304" s="8"/>
      <c r="B304" s="8"/>
      <c r="C304" s="14"/>
      <c r="J304" s="6"/>
      <c r="M304" s="30"/>
    </row>
    <row r="305" spans="3:13" ht="14.25" customHeight="1">
      <c r="C305" s="14"/>
      <c r="J305" s="6"/>
      <c r="M305" s="30"/>
    </row>
    <row r="306" spans="3:13" ht="14.25" customHeight="1">
      <c r="C306" s="14"/>
      <c r="J306" s="6"/>
      <c r="M306" s="30"/>
    </row>
    <row r="307" spans="3:13" ht="14.25" customHeight="1">
      <c r="C307" s="14"/>
      <c r="J307" s="6"/>
      <c r="M307" s="30"/>
    </row>
    <row r="308" spans="3:13" ht="14.25" customHeight="1">
      <c r="C308" s="14"/>
      <c r="J308" s="6"/>
      <c r="M308" s="30"/>
    </row>
    <row r="309" spans="3:13" ht="14.25" customHeight="1">
      <c r="J309" s="6"/>
      <c r="M309" s="30"/>
    </row>
    <row r="310" spans="3:13" ht="14.25" customHeight="1">
      <c r="J310" s="6"/>
      <c r="M310" s="30"/>
    </row>
    <row r="311" spans="3:13" ht="14.25" customHeight="1">
      <c r="J311" s="6"/>
      <c r="M311" s="30"/>
    </row>
    <row r="312" spans="3:13" ht="14.25" customHeight="1">
      <c r="J312" s="6"/>
      <c r="M312" s="30"/>
    </row>
    <row r="313" spans="3:13" ht="14.25" customHeight="1">
      <c r="J313" s="6"/>
      <c r="M313" s="30"/>
    </row>
    <row r="314" spans="3:13" ht="14.25" customHeight="1">
      <c r="J314" s="6"/>
      <c r="M314" s="30"/>
    </row>
    <row r="315" spans="3:13" ht="14.25" customHeight="1">
      <c r="J315" s="6"/>
      <c r="M315" s="30"/>
    </row>
    <row r="316" spans="3:13" ht="14.25" customHeight="1">
      <c r="J316" s="6"/>
      <c r="M316" s="30"/>
    </row>
    <row r="317" spans="3:13" ht="14.25" customHeight="1">
      <c r="J317" s="6"/>
      <c r="M317" s="30"/>
    </row>
    <row r="318" spans="3:13" ht="14.25" customHeight="1">
      <c r="J318" s="6"/>
      <c r="M318" s="30"/>
    </row>
    <row r="319" spans="3:13" ht="14.25" customHeight="1">
      <c r="J319" s="6"/>
      <c r="M319" s="30"/>
    </row>
    <row r="320" spans="3:13" ht="14.25" customHeight="1">
      <c r="J320" s="6"/>
    </row>
    <row r="321" spans="10:10" ht="14.25" customHeight="1">
      <c r="J321" s="6"/>
    </row>
    <row r="322" spans="10:10" ht="14.25" customHeight="1">
      <c r="J322" s="6"/>
    </row>
    <row r="323" spans="10:10" ht="14.25" customHeight="1">
      <c r="J323" s="6"/>
    </row>
    <row r="324" spans="10:10" ht="14.25" customHeight="1">
      <c r="J324" s="6"/>
    </row>
    <row r="325" spans="10:10" ht="14.25" customHeight="1">
      <c r="J325" s="6"/>
    </row>
    <row r="326" spans="10:10" ht="14.25" customHeight="1">
      <c r="J326" s="6"/>
    </row>
    <row r="327" spans="10:10" ht="14.25" customHeight="1">
      <c r="J327" s="6"/>
    </row>
    <row r="328" spans="10:10" ht="14.25" customHeight="1">
      <c r="J328" s="6"/>
    </row>
    <row r="329" spans="10:10" ht="14.25" customHeight="1">
      <c r="J329" s="6"/>
    </row>
    <row r="330" spans="10:10" ht="14.25" customHeight="1">
      <c r="J330" s="6"/>
    </row>
    <row r="331" spans="10:10" ht="14.25" customHeight="1">
      <c r="J331" s="6"/>
    </row>
    <row r="332" spans="10:10" ht="14.25" customHeight="1">
      <c r="J332" s="6"/>
    </row>
    <row r="333" spans="10:10" ht="14.25" customHeight="1">
      <c r="J333" s="6"/>
    </row>
    <row r="334" spans="10:10" ht="14.25" customHeight="1">
      <c r="J334" s="6"/>
    </row>
    <row r="335" spans="10:10" ht="14.25" customHeight="1">
      <c r="J335" s="6"/>
    </row>
    <row r="336" spans="10:10" ht="14.25" customHeight="1">
      <c r="J336" s="6"/>
    </row>
    <row r="337" spans="10:10" ht="14.25" customHeight="1">
      <c r="J337" s="6"/>
    </row>
    <row r="338" spans="10:10" ht="14.25" customHeight="1">
      <c r="J338" s="6"/>
    </row>
    <row r="339" spans="10:10" ht="14.25" customHeight="1">
      <c r="J339" s="6"/>
    </row>
    <row r="340" spans="10:10" ht="14.25" customHeight="1">
      <c r="J340" s="6"/>
    </row>
    <row r="341" spans="10:10" ht="14.25" customHeight="1">
      <c r="J341" s="6"/>
    </row>
    <row r="342" spans="10:10" ht="14.25" customHeight="1">
      <c r="J342" s="6"/>
    </row>
    <row r="343" spans="10:10" ht="14.25" customHeight="1">
      <c r="J343" s="6"/>
    </row>
    <row r="344" spans="10:10" ht="14.25" customHeight="1">
      <c r="J344" s="6"/>
    </row>
    <row r="345" spans="10:10" ht="14.25" customHeight="1">
      <c r="J345" s="6"/>
    </row>
    <row r="346" spans="10:10" ht="14.25" customHeight="1">
      <c r="J346" s="6"/>
    </row>
    <row r="347" spans="10:10" ht="14.25" customHeight="1">
      <c r="J347" s="6"/>
    </row>
    <row r="348" spans="10:10" ht="14.25" customHeight="1">
      <c r="J348" s="6"/>
    </row>
    <row r="349" spans="10:10" ht="14.25" customHeight="1">
      <c r="J349" s="6"/>
    </row>
    <row r="350" spans="10:10" ht="14.25" customHeight="1">
      <c r="J350" s="6"/>
    </row>
    <row r="351" spans="10:10" ht="14.25" customHeight="1">
      <c r="J351" s="6"/>
    </row>
    <row r="352" spans="10:10" ht="14.25" customHeight="1">
      <c r="J352" s="6"/>
    </row>
    <row r="353" spans="10:10" ht="14.25" customHeight="1">
      <c r="J353" s="6"/>
    </row>
    <row r="354" spans="10:10" ht="14.25" customHeight="1">
      <c r="J354" s="6"/>
    </row>
    <row r="355" spans="10:10" ht="14.25" customHeight="1">
      <c r="J355" s="6"/>
    </row>
    <row r="356" spans="10:10" ht="14.25" customHeight="1">
      <c r="J356" s="6"/>
    </row>
    <row r="357" spans="10:10" ht="14.25" customHeight="1">
      <c r="J357" s="6"/>
    </row>
    <row r="358" spans="10:10" ht="14.25" customHeight="1">
      <c r="J358" s="6"/>
    </row>
    <row r="359" spans="10:10" ht="14.25" customHeight="1">
      <c r="J359" s="6"/>
    </row>
    <row r="360" spans="10:10" ht="14.25" customHeight="1">
      <c r="J360" s="6"/>
    </row>
    <row r="361" spans="10:10" ht="14.25" customHeight="1">
      <c r="J361" s="6"/>
    </row>
    <row r="362" spans="10:10" ht="14.25" customHeight="1">
      <c r="J362" s="6"/>
    </row>
    <row r="363" spans="10:10" ht="14.25" customHeight="1">
      <c r="J363" s="6"/>
    </row>
    <row r="364" spans="10:10" ht="14.25" customHeight="1">
      <c r="J364" s="6"/>
    </row>
    <row r="365" spans="10:10" ht="14.25" customHeight="1">
      <c r="J365" s="6"/>
    </row>
    <row r="366" spans="10:10" ht="14.25" customHeight="1">
      <c r="J366" s="6"/>
    </row>
    <row r="367" spans="10:10" ht="14.25" customHeight="1">
      <c r="J367" s="6"/>
    </row>
    <row r="368" spans="10:10" ht="14.25" customHeight="1">
      <c r="J368" s="6"/>
    </row>
    <row r="369" spans="10:10" ht="14.25" customHeight="1">
      <c r="J369" s="6"/>
    </row>
    <row r="370" spans="10:10" ht="14.25" customHeight="1">
      <c r="J370" s="6"/>
    </row>
    <row r="371" spans="10:10" ht="14.25" customHeight="1">
      <c r="J371" s="6"/>
    </row>
    <row r="372" spans="10:10" ht="14.25" customHeight="1">
      <c r="J372" s="6"/>
    </row>
    <row r="373" spans="10:10" ht="14.25" customHeight="1">
      <c r="J373" s="6"/>
    </row>
    <row r="374" spans="10:10" ht="14.25" customHeight="1">
      <c r="J374" s="6"/>
    </row>
    <row r="375" spans="10:10" ht="14.25" customHeight="1">
      <c r="J375" s="6"/>
    </row>
    <row r="376" spans="10:10" ht="14.25" customHeight="1">
      <c r="J376" s="6"/>
    </row>
    <row r="377" spans="10:10" ht="14.25" customHeight="1">
      <c r="J377" s="6"/>
    </row>
    <row r="378" spans="10:10" ht="14.25" customHeight="1">
      <c r="J378" s="6"/>
    </row>
    <row r="379" spans="10:10" ht="14.25" customHeight="1">
      <c r="J379" s="6"/>
    </row>
    <row r="380" spans="10:10" ht="14.25" customHeight="1">
      <c r="J380" s="6"/>
    </row>
    <row r="381" spans="10:10" ht="14.25" customHeight="1">
      <c r="J381" s="6"/>
    </row>
    <row r="382" spans="10:10" ht="14.25" customHeight="1">
      <c r="J382" s="6"/>
    </row>
    <row r="383" spans="10:10" ht="14.25" customHeight="1">
      <c r="J383" s="6"/>
    </row>
    <row r="384" spans="10:10" ht="14.25" customHeight="1">
      <c r="J384" s="6"/>
    </row>
    <row r="385" spans="10:10" ht="14.25" customHeight="1">
      <c r="J385" s="6"/>
    </row>
    <row r="386" spans="10:10" ht="14.25" customHeight="1">
      <c r="J386" s="6"/>
    </row>
    <row r="387" spans="10:10" ht="14.25" customHeight="1">
      <c r="J387" s="6"/>
    </row>
    <row r="388" spans="10:10" ht="14.25" customHeight="1">
      <c r="J388" s="6"/>
    </row>
    <row r="389" spans="10:10" ht="14.25" customHeight="1">
      <c r="J389" s="6"/>
    </row>
    <row r="390" spans="10:10" ht="14.25" customHeight="1">
      <c r="J390" s="6"/>
    </row>
    <row r="391" spans="10:10" ht="14.25" customHeight="1">
      <c r="J391" s="6"/>
    </row>
    <row r="392" spans="10:10" ht="14.25" customHeight="1">
      <c r="J392" s="6"/>
    </row>
    <row r="393" spans="10:10" ht="14.25" customHeight="1">
      <c r="J393" s="6"/>
    </row>
    <row r="394" spans="10:10" ht="14.25" customHeight="1">
      <c r="J394" s="6"/>
    </row>
    <row r="395" spans="10:10" ht="14.25" customHeight="1">
      <c r="J395" s="6"/>
    </row>
    <row r="396" spans="10:10" ht="14.25" customHeight="1">
      <c r="J396" s="6"/>
    </row>
    <row r="397" spans="10:10" ht="14.25" customHeight="1">
      <c r="J397" s="6"/>
    </row>
    <row r="398" spans="10:10" ht="14.25" customHeight="1">
      <c r="J398" s="6"/>
    </row>
    <row r="399" spans="10:10" ht="14.25" customHeight="1">
      <c r="J399" s="6"/>
    </row>
    <row r="400" spans="10:10" ht="14.25" customHeight="1">
      <c r="J400" s="6"/>
    </row>
    <row r="401" spans="10:10" ht="14.25" customHeight="1">
      <c r="J401" s="6"/>
    </row>
    <row r="402" spans="10:10" ht="14.25" customHeight="1">
      <c r="J402" s="6"/>
    </row>
    <row r="403" spans="10:10" ht="14.25" customHeight="1">
      <c r="J403" s="6"/>
    </row>
    <row r="404" spans="10:10" ht="14.25" customHeight="1">
      <c r="J404" s="6"/>
    </row>
    <row r="405" spans="10:10" ht="14.25" customHeight="1">
      <c r="J405" s="6"/>
    </row>
    <row r="406" spans="10:10" ht="14.25" customHeight="1">
      <c r="J406" s="6"/>
    </row>
    <row r="407" spans="10:10" ht="14.25" customHeight="1">
      <c r="J407" s="6"/>
    </row>
    <row r="408" spans="10:10" ht="14.25" customHeight="1">
      <c r="J408" s="6"/>
    </row>
    <row r="409" spans="10:10" ht="14.25" customHeight="1">
      <c r="J409" s="6"/>
    </row>
    <row r="410" spans="10:10" ht="14.25" customHeight="1">
      <c r="J410" s="6"/>
    </row>
    <row r="411" spans="10:10" ht="14.25" customHeight="1">
      <c r="J411" s="6"/>
    </row>
    <row r="412" spans="10:10" ht="14.25" customHeight="1">
      <c r="J412" s="6"/>
    </row>
    <row r="413" spans="10:10" ht="14.25" customHeight="1">
      <c r="J413" s="6"/>
    </row>
    <row r="414" spans="10:10" ht="14.25" customHeight="1">
      <c r="J414" s="6"/>
    </row>
    <row r="415" spans="10:10" ht="14.25" customHeight="1">
      <c r="J415" s="6"/>
    </row>
    <row r="416" spans="10:10" ht="14.25" customHeight="1">
      <c r="J416" s="6"/>
    </row>
    <row r="417" spans="10:10" ht="14.25" customHeight="1">
      <c r="J417" s="6"/>
    </row>
    <row r="418" spans="10:10" ht="14.25" customHeight="1">
      <c r="J418" s="6"/>
    </row>
    <row r="419" spans="10:10" ht="14.25" customHeight="1">
      <c r="J419" s="6"/>
    </row>
    <row r="420" spans="10:10" ht="14.25" customHeight="1">
      <c r="J420" s="6"/>
    </row>
    <row r="421" spans="10:10" ht="14.25" customHeight="1">
      <c r="J421" s="6"/>
    </row>
    <row r="422" spans="10:10" ht="14.25" customHeight="1">
      <c r="J422" s="6"/>
    </row>
    <row r="423" spans="10:10" ht="14.25" customHeight="1">
      <c r="J423" s="6"/>
    </row>
    <row r="424" spans="10:10" ht="14.25" customHeight="1">
      <c r="J424" s="6"/>
    </row>
    <row r="425" spans="10:10" ht="14.25" customHeight="1">
      <c r="J425" s="6"/>
    </row>
    <row r="426" spans="10:10" ht="14.25" customHeight="1">
      <c r="J426" s="6"/>
    </row>
    <row r="427" spans="10:10" ht="14.25" customHeight="1">
      <c r="J427" s="6"/>
    </row>
    <row r="428" spans="10:10" ht="14.25" customHeight="1">
      <c r="J428" s="6"/>
    </row>
    <row r="429" spans="10:10" ht="14.25" customHeight="1">
      <c r="J429" s="6"/>
    </row>
    <row r="430" spans="10:10" ht="14.25" customHeight="1">
      <c r="J430" s="6"/>
    </row>
    <row r="431" spans="10:10" ht="14.25" customHeight="1">
      <c r="J431" s="6"/>
    </row>
    <row r="432" spans="10:10" ht="14.25" customHeight="1">
      <c r="J432" s="6"/>
    </row>
    <row r="433" spans="10:10" ht="14.25" customHeight="1">
      <c r="J433" s="6"/>
    </row>
    <row r="434" spans="10:10" ht="14.25" customHeight="1">
      <c r="J434" s="6"/>
    </row>
    <row r="435" spans="10:10" ht="14.25" customHeight="1">
      <c r="J435" s="6"/>
    </row>
    <row r="436" spans="10:10" ht="14.25" customHeight="1">
      <c r="J436" s="6"/>
    </row>
    <row r="437" spans="10:10" ht="14.25" customHeight="1">
      <c r="J437" s="6"/>
    </row>
    <row r="438" spans="10:10" ht="14.25" customHeight="1">
      <c r="J438" s="6"/>
    </row>
    <row r="439" spans="10:10" ht="14.25" customHeight="1">
      <c r="J439" s="6"/>
    </row>
    <row r="440" spans="10:10" ht="14.25" customHeight="1">
      <c r="J440" s="6"/>
    </row>
    <row r="441" spans="10:10" ht="14.25" customHeight="1">
      <c r="J441" s="6"/>
    </row>
    <row r="442" spans="10:10" ht="14.25" customHeight="1">
      <c r="J442" s="6"/>
    </row>
    <row r="443" spans="10:10" ht="14.25" customHeight="1">
      <c r="J443" s="6"/>
    </row>
    <row r="444" spans="10:10" ht="14.25" customHeight="1">
      <c r="J444" s="6"/>
    </row>
    <row r="445" spans="10:10" ht="14.25" customHeight="1">
      <c r="J445" s="6"/>
    </row>
    <row r="446" spans="10:10" ht="14.25" customHeight="1">
      <c r="J446" s="6"/>
    </row>
    <row r="447" spans="10:10" ht="14.25" customHeight="1">
      <c r="J447" s="6"/>
    </row>
    <row r="448" spans="10:10" ht="14.25" customHeight="1">
      <c r="J448" s="6"/>
    </row>
    <row r="449" spans="10:10" ht="14.25" customHeight="1">
      <c r="J449" s="6"/>
    </row>
    <row r="450" spans="10:10" ht="14.25" customHeight="1">
      <c r="J450" s="6"/>
    </row>
    <row r="451" spans="10:10" ht="14.25" customHeight="1">
      <c r="J451" s="6"/>
    </row>
    <row r="452" spans="10:10" ht="14.25" customHeight="1">
      <c r="J452" s="6"/>
    </row>
    <row r="453" spans="10:10" ht="14.25" customHeight="1">
      <c r="J453" s="6"/>
    </row>
    <row r="454" spans="10:10" ht="14.25" customHeight="1">
      <c r="J454" s="6"/>
    </row>
    <row r="455" spans="10:10" ht="14.25" customHeight="1">
      <c r="J455" s="6"/>
    </row>
    <row r="456" spans="10:10" ht="14.25" customHeight="1">
      <c r="J456" s="6"/>
    </row>
    <row r="457" spans="10:10" ht="14.25" customHeight="1">
      <c r="J457" s="6"/>
    </row>
    <row r="458" spans="10:10" ht="14.25" customHeight="1">
      <c r="J458" s="6"/>
    </row>
    <row r="459" spans="10:10" ht="14.25" customHeight="1">
      <c r="J459" s="6"/>
    </row>
    <row r="460" spans="10:10" ht="14.25" customHeight="1">
      <c r="J460" s="6"/>
    </row>
    <row r="461" spans="10:10" ht="14.25" customHeight="1">
      <c r="J461" s="6"/>
    </row>
    <row r="462" spans="10:10" ht="14.25" customHeight="1">
      <c r="J462" s="6"/>
    </row>
    <row r="463" spans="10:10" ht="14.25" customHeight="1">
      <c r="J463" s="6"/>
    </row>
    <row r="464" spans="10:10" ht="14.25" customHeight="1">
      <c r="J464" s="6"/>
    </row>
    <row r="465" spans="10:10" ht="14.25" customHeight="1">
      <c r="J465" s="6"/>
    </row>
    <row r="466" spans="10:10" ht="14.25" customHeight="1">
      <c r="J466" s="6"/>
    </row>
    <row r="467" spans="10:10" ht="14.25" customHeight="1">
      <c r="J467" s="6"/>
    </row>
    <row r="468" spans="10:10" ht="14.25" customHeight="1">
      <c r="J468" s="6"/>
    </row>
    <row r="469" spans="10:10" ht="14.25" customHeight="1">
      <c r="J469" s="6"/>
    </row>
    <row r="470" spans="10:10" ht="14.25" customHeight="1">
      <c r="J470" s="6"/>
    </row>
    <row r="471" spans="10:10" ht="14.25" customHeight="1">
      <c r="J471" s="6"/>
    </row>
    <row r="472" spans="10:10" ht="14.25" customHeight="1">
      <c r="J472" s="6"/>
    </row>
    <row r="473" spans="10:10" ht="14.25" customHeight="1">
      <c r="J473" s="6"/>
    </row>
    <row r="474" spans="10:10" ht="14.25" customHeight="1">
      <c r="J474" s="6"/>
    </row>
    <row r="475" spans="10:10" ht="14.25" customHeight="1">
      <c r="J475" s="6"/>
    </row>
    <row r="476" spans="10:10" ht="14.25" customHeight="1">
      <c r="J476" s="6"/>
    </row>
    <row r="477" spans="10:10" ht="14.25" customHeight="1">
      <c r="J477" s="6"/>
    </row>
    <row r="478" spans="10:10" ht="14.25" customHeight="1">
      <c r="J478" s="6"/>
    </row>
    <row r="479" spans="10:10" ht="14.25" customHeight="1">
      <c r="J479" s="6"/>
    </row>
    <row r="480" spans="10:10" ht="14.25" customHeight="1">
      <c r="J480" s="6"/>
    </row>
    <row r="481" spans="10:10" ht="14.25" customHeight="1">
      <c r="J481" s="6"/>
    </row>
    <row r="482" spans="10:10" ht="14.25" customHeight="1">
      <c r="J482" s="6"/>
    </row>
    <row r="483" spans="10:10" ht="14.25" customHeight="1">
      <c r="J483" s="6"/>
    </row>
    <row r="484" spans="10:10" ht="14.25" customHeight="1">
      <c r="J484" s="6"/>
    </row>
    <row r="485" spans="10:10" ht="14.25" customHeight="1">
      <c r="J485" s="6"/>
    </row>
    <row r="486" spans="10:10" ht="14.25" customHeight="1">
      <c r="J486" s="6"/>
    </row>
    <row r="487" spans="10:10" ht="14.25" customHeight="1">
      <c r="J487" s="6"/>
    </row>
    <row r="488" spans="10:10" ht="14.25" customHeight="1">
      <c r="J488" s="6"/>
    </row>
    <row r="489" spans="10:10" ht="14.25" customHeight="1">
      <c r="J489" s="6"/>
    </row>
    <row r="490" spans="10:10" ht="14.25" customHeight="1">
      <c r="J490" s="6"/>
    </row>
    <row r="491" spans="10:10" ht="14.25" customHeight="1">
      <c r="J491" s="6"/>
    </row>
    <row r="492" spans="10:10" ht="14.25" customHeight="1">
      <c r="J492" s="6"/>
    </row>
    <row r="493" spans="10:10" ht="14.25" customHeight="1">
      <c r="J493" s="6"/>
    </row>
    <row r="494" spans="10:10" ht="14.25" customHeight="1">
      <c r="J494" s="6"/>
    </row>
    <row r="495" spans="10:10" ht="14.25" customHeight="1">
      <c r="J495" s="6"/>
    </row>
    <row r="496" spans="10:10" ht="14.25" customHeight="1">
      <c r="J496" s="6"/>
    </row>
    <row r="497" spans="10:10" ht="14.25" customHeight="1">
      <c r="J497" s="6"/>
    </row>
    <row r="498" spans="10:10" ht="14.25" customHeight="1">
      <c r="J498" s="6"/>
    </row>
    <row r="499" spans="10:10" ht="14.25" customHeight="1">
      <c r="J499" s="6"/>
    </row>
    <row r="500" spans="10:10" ht="14.25" customHeight="1">
      <c r="J500" s="6"/>
    </row>
    <row r="501" spans="10:10" ht="14.25" customHeight="1">
      <c r="J501" s="6"/>
    </row>
    <row r="502" spans="10:10" ht="14.25" customHeight="1"/>
    <row r="503" spans="10:10" ht="14.25" customHeight="1"/>
    <row r="504" spans="10:10" ht="14.25" customHeight="1"/>
    <row r="505" spans="10:10" ht="14.25" customHeight="1"/>
    <row r="506" spans="10:10" ht="14.25" customHeight="1"/>
    <row r="507" spans="10:10" ht="14.25" customHeight="1"/>
    <row r="508" spans="10:10" ht="14.25" customHeight="1"/>
    <row r="509" spans="10:10" ht="14.25" customHeight="1"/>
    <row r="510" spans="10:10" ht="14.25" customHeight="1"/>
    <row r="511" spans="10:10" ht="14.25" customHeight="1"/>
    <row r="512" spans="10:10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Z301" xr:uid="{00000000-0009-0000-0000-000000000000}">
    <sortState xmlns:xlrd2="http://schemas.microsoft.com/office/spreadsheetml/2017/richdata2" ref="A2:Z301">
      <sortCondition ref="M1:M301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E1" sqref="E1"/>
    </sheetView>
  </sheetViews>
  <sheetFormatPr defaultColWidth="14.42578125" defaultRowHeight="15" customHeight="1"/>
  <cols>
    <col min="1" max="1" width="30.28515625" customWidth="1"/>
    <col min="2" max="2" width="11.140625" customWidth="1"/>
    <col min="3" max="3" width="17" customWidth="1"/>
    <col min="4" max="4" width="13.42578125" style="14" customWidth="1"/>
    <col min="5" max="5" width="17.42578125" style="14" bestFit="1" customWidth="1"/>
    <col min="6" max="6" width="19.42578125" customWidth="1"/>
    <col min="7" max="7" width="12.140625" customWidth="1"/>
    <col min="8" max="8" width="23.85546875" bestFit="1" customWidth="1"/>
    <col min="9" max="26" width="8.7109375" customWidth="1"/>
  </cols>
  <sheetData>
    <row r="1" spans="1:8" ht="14.25" customHeight="1">
      <c r="A1" s="15" t="s">
        <v>505</v>
      </c>
      <c r="B1" s="15" t="s">
        <v>1</v>
      </c>
      <c r="C1" s="15" t="s">
        <v>506</v>
      </c>
      <c r="D1" s="25" t="s">
        <v>507</v>
      </c>
      <c r="E1" s="25" t="s">
        <v>508</v>
      </c>
      <c r="F1" s="15" t="s">
        <v>509</v>
      </c>
      <c r="G1" s="15" t="s">
        <v>510</v>
      </c>
      <c r="H1" s="21" t="s">
        <v>511</v>
      </c>
    </row>
    <row r="2" spans="1:8" ht="14.25" customHeight="1">
      <c r="A2" s="4" t="s">
        <v>30</v>
      </c>
      <c r="B2" s="3" t="s">
        <v>44</v>
      </c>
      <c r="C2" s="12">
        <v>9964</v>
      </c>
      <c r="D2" s="12">
        <v>978</v>
      </c>
      <c r="E2" s="12">
        <v>176196</v>
      </c>
      <c r="F2" s="3">
        <v>60.425889350496043</v>
      </c>
      <c r="G2" s="24">
        <v>27081</v>
      </c>
      <c r="H2" s="8">
        <f t="shared" ref="H2:H33" si="0">((C2-D2)/(E2-C2+D2))*100</f>
        <v>5.3740804975778964</v>
      </c>
    </row>
    <row r="3" spans="1:8" ht="14.25" customHeight="1">
      <c r="A3" s="4" t="s">
        <v>90</v>
      </c>
      <c r="B3" s="3" t="s">
        <v>44</v>
      </c>
      <c r="C3" s="12">
        <v>9964</v>
      </c>
      <c r="D3" s="12">
        <v>361</v>
      </c>
      <c r="E3" s="12">
        <v>103777</v>
      </c>
      <c r="F3" s="3">
        <v>56.637790647253247</v>
      </c>
      <c r="G3" s="24">
        <v>27081</v>
      </c>
      <c r="H3" s="8">
        <f t="shared" si="0"/>
        <v>10.197081997154205</v>
      </c>
    </row>
    <row r="4" spans="1:8" ht="14.25" customHeight="1">
      <c r="A4" s="4" t="s">
        <v>21</v>
      </c>
      <c r="B4" s="3" t="s">
        <v>44</v>
      </c>
      <c r="C4" s="12">
        <v>9964</v>
      </c>
      <c r="D4" s="12">
        <v>757</v>
      </c>
      <c r="E4" s="12">
        <v>333052</v>
      </c>
      <c r="F4" s="3">
        <v>44.450416151231643</v>
      </c>
      <c r="G4" s="24">
        <v>27081</v>
      </c>
      <c r="H4" s="8">
        <f t="shared" si="0"/>
        <v>2.843026756627399</v>
      </c>
    </row>
    <row r="5" spans="1:8" ht="14.25" customHeight="1">
      <c r="A5" s="4" t="s">
        <v>333</v>
      </c>
      <c r="B5" s="3" t="s">
        <v>44</v>
      </c>
      <c r="C5" s="12">
        <v>9964</v>
      </c>
      <c r="D5" s="12">
        <v>506</v>
      </c>
      <c r="E5" s="12">
        <v>134418</v>
      </c>
      <c r="F5" s="3">
        <v>35.577824398518047</v>
      </c>
      <c r="G5" s="24">
        <v>27081</v>
      </c>
      <c r="H5" s="8">
        <f t="shared" si="0"/>
        <v>7.5688220230473755</v>
      </c>
    </row>
    <row r="6" spans="1:8" ht="14.25" customHeight="1">
      <c r="A6" s="4" t="s">
        <v>181</v>
      </c>
      <c r="B6" s="3" t="s">
        <v>44</v>
      </c>
      <c r="C6" s="12">
        <v>9964</v>
      </c>
      <c r="D6" s="12">
        <v>303</v>
      </c>
      <c r="E6" s="12">
        <v>398548</v>
      </c>
      <c r="F6" s="3">
        <v>33.909842729106657</v>
      </c>
      <c r="G6" s="24">
        <v>27081</v>
      </c>
      <c r="H6" s="8">
        <f t="shared" si="0"/>
        <v>2.484269209307588</v>
      </c>
    </row>
    <row r="7" spans="1:8" ht="14.25" customHeight="1">
      <c r="A7" s="4" t="s">
        <v>136</v>
      </c>
      <c r="B7" s="3" t="s">
        <v>44</v>
      </c>
      <c r="C7" s="12">
        <v>9964</v>
      </c>
      <c r="D7" s="12">
        <v>465</v>
      </c>
      <c r="E7" s="12">
        <v>420811</v>
      </c>
      <c r="F7" s="3">
        <v>33.257448118038738</v>
      </c>
      <c r="G7" s="24">
        <v>27081</v>
      </c>
      <c r="H7" s="8">
        <f t="shared" si="0"/>
        <v>2.3094390632901542</v>
      </c>
    </row>
    <row r="8" spans="1:8" ht="14.25" customHeight="1">
      <c r="A8" s="4" t="s">
        <v>512</v>
      </c>
      <c r="B8" s="3" t="s">
        <v>44</v>
      </c>
      <c r="C8" s="12">
        <v>9964</v>
      </c>
      <c r="D8" s="12">
        <v>110</v>
      </c>
      <c r="E8" s="12">
        <v>455286</v>
      </c>
      <c r="F8" s="3">
        <v>31.554451487636339</v>
      </c>
      <c r="G8" s="24">
        <v>27081</v>
      </c>
      <c r="H8" s="8">
        <f t="shared" si="0"/>
        <v>2.2122344151295823</v>
      </c>
    </row>
    <row r="9" spans="1:8" ht="14.25" customHeight="1">
      <c r="A9" s="4" t="s">
        <v>181</v>
      </c>
      <c r="B9" s="3" t="s">
        <v>44</v>
      </c>
      <c r="C9" s="12">
        <v>9964</v>
      </c>
      <c r="D9" s="12">
        <v>928</v>
      </c>
      <c r="E9" s="12">
        <v>396672</v>
      </c>
      <c r="F9" s="3">
        <v>30.118586640851881</v>
      </c>
      <c r="G9" s="24">
        <v>27081</v>
      </c>
      <c r="H9" s="8">
        <f t="shared" si="0"/>
        <v>2.3310528433891591</v>
      </c>
    </row>
    <row r="10" spans="1:8" ht="14.25" customHeight="1">
      <c r="A10" s="4" t="s">
        <v>69</v>
      </c>
      <c r="B10" s="3" t="s">
        <v>44</v>
      </c>
      <c r="C10" s="12">
        <v>9964</v>
      </c>
      <c r="D10" s="12">
        <v>281</v>
      </c>
      <c r="E10" s="12">
        <v>309517</v>
      </c>
      <c r="F10" s="3">
        <v>27.765518533715429</v>
      </c>
      <c r="G10" s="24">
        <v>27081</v>
      </c>
      <c r="H10" s="8">
        <f t="shared" si="0"/>
        <v>3.2294536310091582</v>
      </c>
    </row>
    <row r="11" spans="1:8" ht="14.25" customHeight="1">
      <c r="A11" s="4" t="s">
        <v>131</v>
      </c>
      <c r="B11" s="3" t="s">
        <v>44</v>
      </c>
      <c r="C11" s="12">
        <v>9964</v>
      </c>
      <c r="D11" s="12">
        <v>717</v>
      </c>
      <c r="E11" s="12">
        <v>553745</v>
      </c>
      <c r="F11" s="3">
        <v>26.921416897669499</v>
      </c>
      <c r="G11" s="24">
        <v>27081</v>
      </c>
      <c r="H11" s="8">
        <f t="shared" si="0"/>
        <v>1.6982615179486424</v>
      </c>
    </row>
    <row r="12" spans="1:8" ht="14.25" customHeight="1">
      <c r="A12" s="4" t="s">
        <v>513</v>
      </c>
      <c r="B12" s="3" t="s">
        <v>44</v>
      </c>
      <c r="C12" s="12">
        <v>9964</v>
      </c>
      <c r="D12" s="12">
        <v>509</v>
      </c>
      <c r="E12" s="12">
        <v>480320</v>
      </c>
      <c r="F12" s="3">
        <v>25.077864756828781</v>
      </c>
      <c r="G12" s="24">
        <v>27081</v>
      </c>
      <c r="H12" s="8">
        <f t="shared" si="0"/>
        <v>2.0080065411529842</v>
      </c>
    </row>
    <row r="13" spans="1:8" ht="14.25" customHeight="1">
      <c r="A13" s="4" t="s">
        <v>512</v>
      </c>
      <c r="B13" s="3" t="s">
        <v>44</v>
      </c>
      <c r="C13" s="12">
        <v>9964</v>
      </c>
      <c r="D13" s="12">
        <v>1153</v>
      </c>
      <c r="E13" s="12">
        <v>471959</v>
      </c>
      <c r="F13" s="3">
        <v>19.214592793018038</v>
      </c>
      <c r="G13" s="24">
        <v>27081</v>
      </c>
      <c r="H13" s="8">
        <f t="shared" si="0"/>
        <v>1.902415642515999</v>
      </c>
    </row>
    <row r="14" spans="1:8" ht="14.25" customHeight="1">
      <c r="A14" s="4" t="s">
        <v>345</v>
      </c>
      <c r="B14" s="3" t="s">
        <v>44</v>
      </c>
      <c r="C14" s="12">
        <v>9964</v>
      </c>
      <c r="D14" s="12">
        <v>234</v>
      </c>
      <c r="E14" s="12">
        <v>224651</v>
      </c>
      <c r="F14" s="3">
        <v>17.41278694508371</v>
      </c>
      <c r="G14" s="24">
        <v>27081</v>
      </c>
      <c r="H14" s="8">
        <f t="shared" si="0"/>
        <v>4.5272448946357038</v>
      </c>
    </row>
    <row r="15" spans="1:8" ht="14.25" customHeight="1">
      <c r="A15" s="4" t="s">
        <v>261</v>
      </c>
      <c r="B15" s="3" t="s">
        <v>44</v>
      </c>
      <c r="C15" s="12">
        <v>9964</v>
      </c>
      <c r="D15" s="12">
        <v>775</v>
      </c>
      <c r="E15" s="12">
        <v>661697</v>
      </c>
      <c r="F15" s="3">
        <v>15.96622018839439</v>
      </c>
      <c r="G15" s="24">
        <v>27081</v>
      </c>
      <c r="H15" s="8">
        <f t="shared" si="0"/>
        <v>1.4082585960631899</v>
      </c>
    </row>
    <row r="16" spans="1:8" ht="14.25" customHeight="1">
      <c r="A16" s="4" t="s">
        <v>512</v>
      </c>
      <c r="B16" s="3" t="s">
        <v>44</v>
      </c>
      <c r="C16" s="12">
        <v>9964</v>
      </c>
      <c r="D16" s="12">
        <v>275</v>
      </c>
      <c r="E16" s="12">
        <v>464255</v>
      </c>
      <c r="F16" s="3">
        <v>15.72131694865968</v>
      </c>
      <c r="G16" s="24">
        <v>27081</v>
      </c>
      <c r="H16" s="8">
        <f t="shared" si="0"/>
        <v>2.1314836569387063</v>
      </c>
    </row>
    <row r="17" spans="1:8" ht="14.25" customHeight="1">
      <c r="A17" s="4" t="s">
        <v>261</v>
      </c>
      <c r="B17" s="3" t="s">
        <v>44</v>
      </c>
      <c r="C17" s="12">
        <v>9964</v>
      </c>
      <c r="D17" s="12">
        <v>476</v>
      </c>
      <c r="E17" s="12">
        <v>655645</v>
      </c>
      <c r="F17" s="3">
        <v>15.458517947974901</v>
      </c>
      <c r="G17" s="24">
        <v>27081</v>
      </c>
      <c r="H17" s="8">
        <f t="shared" si="0"/>
        <v>1.4683737853184287</v>
      </c>
    </row>
    <row r="18" spans="1:8" ht="14.25" customHeight="1">
      <c r="A18" s="4" t="s">
        <v>514</v>
      </c>
      <c r="B18" s="3" t="s">
        <v>44</v>
      </c>
      <c r="C18" s="12">
        <v>9964</v>
      </c>
      <c r="D18" s="12">
        <v>683</v>
      </c>
      <c r="E18" s="12">
        <v>761158</v>
      </c>
      <c r="F18" s="3">
        <v>15.06231294947961</v>
      </c>
      <c r="G18" s="24">
        <v>27081</v>
      </c>
      <c r="H18" s="8">
        <f t="shared" si="0"/>
        <v>1.2343774314149787</v>
      </c>
    </row>
    <row r="19" spans="1:8" ht="14.25" customHeight="1">
      <c r="A19" s="4" t="s">
        <v>76</v>
      </c>
      <c r="B19" s="3" t="s">
        <v>44</v>
      </c>
      <c r="C19" s="12">
        <v>9964</v>
      </c>
      <c r="D19" s="12">
        <v>374</v>
      </c>
      <c r="E19" s="12">
        <v>189735</v>
      </c>
      <c r="F19" s="3">
        <v>14.827522597306769</v>
      </c>
      <c r="G19" s="24">
        <v>27081</v>
      </c>
      <c r="H19" s="8">
        <f t="shared" si="0"/>
        <v>5.3234894113075573</v>
      </c>
    </row>
    <row r="20" spans="1:8" ht="14.25" customHeight="1">
      <c r="A20" s="4" t="s">
        <v>86</v>
      </c>
      <c r="B20" s="3" t="s">
        <v>44</v>
      </c>
      <c r="C20" s="12">
        <v>9964</v>
      </c>
      <c r="D20" s="12">
        <v>891</v>
      </c>
      <c r="E20" s="12">
        <v>922914</v>
      </c>
      <c r="F20" s="3">
        <v>14.789893749580139</v>
      </c>
      <c r="G20" s="24">
        <v>27081</v>
      </c>
      <c r="H20" s="8">
        <f t="shared" si="0"/>
        <v>0.99284229969983839</v>
      </c>
    </row>
    <row r="21" spans="1:8" ht="14.25" customHeight="1">
      <c r="A21" s="4" t="s">
        <v>515</v>
      </c>
      <c r="B21" s="3" t="s">
        <v>44</v>
      </c>
      <c r="C21" s="12">
        <v>9964</v>
      </c>
      <c r="D21" s="12">
        <v>328</v>
      </c>
      <c r="E21" s="12">
        <v>810061</v>
      </c>
      <c r="F21" s="3">
        <v>13.941172331466399</v>
      </c>
      <c r="G21" s="24">
        <v>27081</v>
      </c>
      <c r="H21" s="8">
        <f t="shared" si="0"/>
        <v>1.2038604491363962</v>
      </c>
    </row>
    <row r="22" spans="1:8" ht="14.25" customHeight="1">
      <c r="A22" s="4" t="s">
        <v>259</v>
      </c>
      <c r="B22" s="3" t="s">
        <v>44</v>
      </c>
      <c r="C22" s="12">
        <v>9964</v>
      </c>
      <c r="D22" s="12">
        <v>378</v>
      </c>
      <c r="E22" s="12">
        <v>246766</v>
      </c>
      <c r="F22" s="3">
        <v>13.6355899921383</v>
      </c>
      <c r="G22" s="24">
        <v>27081</v>
      </c>
      <c r="H22" s="8">
        <f t="shared" si="0"/>
        <v>4.0416561261489168</v>
      </c>
    </row>
    <row r="23" spans="1:8" ht="14.25" customHeight="1">
      <c r="A23" s="4" t="s">
        <v>39</v>
      </c>
      <c r="B23" s="3" t="s">
        <v>44</v>
      </c>
      <c r="C23" s="12">
        <v>9964</v>
      </c>
      <c r="D23" s="12">
        <v>568</v>
      </c>
      <c r="E23" s="12">
        <v>354010</v>
      </c>
      <c r="F23" s="3">
        <v>13.47730290104799</v>
      </c>
      <c r="G23" s="24">
        <v>27081</v>
      </c>
      <c r="H23" s="8">
        <f t="shared" si="0"/>
        <v>2.7265288119461193</v>
      </c>
    </row>
    <row r="24" spans="1:8" ht="14.25" customHeight="1">
      <c r="A24" s="4" t="s">
        <v>513</v>
      </c>
      <c r="B24" s="3" t="s">
        <v>44</v>
      </c>
      <c r="C24" s="12">
        <v>9964</v>
      </c>
      <c r="D24" s="12">
        <v>224</v>
      </c>
      <c r="E24" s="12">
        <v>487561</v>
      </c>
      <c r="F24" s="3">
        <v>13.208603641390511</v>
      </c>
      <c r="G24" s="24">
        <v>27081</v>
      </c>
      <c r="H24" s="8">
        <f t="shared" si="0"/>
        <v>2.0384202452382794</v>
      </c>
    </row>
    <row r="25" spans="1:8" ht="14.25" customHeight="1">
      <c r="A25" s="4" t="s">
        <v>516</v>
      </c>
      <c r="B25" s="3" t="s">
        <v>44</v>
      </c>
      <c r="C25" s="12">
        <v>9964</v>
      </c>
      <c r="D25" s="12">
        <v>673</v>
      </c>
      <c r="E25" s="12">
        <v>507970</v>
      </c>
      <c r="F25" s="3">
        <v>13.08758391243577</v>
      </c>
      <c r="G25" s="24">
        <v>27081</v>
      </c>
      <c r="H25" s="8">
        <f t="shared" si="0"/>
        <v>1.8631223692996899</v>
      </c>
    </row>
    <row r="26" spans="1:8" ht="14.25" customHeight="1">
      <c r="A26" s="4" t="s">
        <v>345</v>
      </c>
      <c r="B26" s="3" t="s">
        <v>44</v>
      </c>
      <c r="C26" s="12">
        <v>9964</v>
      </c>
      <c r="D26" s="12">
        <v>328</v>
      </c>
      <c r="E26" s="12">
        <v>221925</v>
      </c>
      <c r="F26" s="3">
        <v>12.8372197814577</v>
      </c>
      <c r="G26" s="24">
        <v>27081</v>
      </c>
      <c r="H26" s="8">
        <f t="shared" si="0"/>
        <v>4.5390952899113941</v>
      </c>
    </row>
    <row r="27" spans="1:8" ht="14.25" customHeight="1">
      <c r="A27" s="4" t="s">
        <v>111</v>
      </c>
      <c r="B27" s="3" t="s">
        <v>44</v>
      </c>
      <c r="C27" s="12">
        <v>9964</v>
      </c>
      <c r="D27" s="12">
        <v>96</v>
      </c>
      <c r="E27" s="12">
        <v>1087368</v>
      </c>
      <c r="F27" s="3">
        <v>12.709772588488899</v>
      </c>
      <c r="G27" s="24">
        <v>27081</v>
      </c>
      <c r="H27" s="8">
        <f t="shared" si="0"/>
        <v>0.91582366589327147</v>
      </c>
    </row>
    <row r="28" spans="1:8" ht="14.25" customHeight="1">
      <c r="A28" s="4" t="s">
        <v>517</v>
      </c>
      <c r="B28" s="3" t="s">
        <v>44</v>
      </c>
      <c r="C28" s="12">
        <v>9964</v>
      </c>
      <c r="D28" s="12">
        <v>1277</v>
      </c>
      <c r="E28" s="12">
        <v>1013386</v>
      </c>
      <c r="F28" s="3">
        <v>12.45517502708741</v>
      </c>
      <c r="G28" s="24">
        <v>27081</v>
      </c>
      <c r="H28" s="8">
        <f t="shared" si="0"/>
        <v>0.86463707040616145</v>
      </c>
    </row>
    <row r="29" spans="1:8" ht="14.25" customHeight="1">
      <c r="A29" s="4" t="s">
        <v>518</v>
      </c>
      <c r="B29" s="3" t="s">
        <v>44</v>
      </c>
      <c r="C29" s="12">
        <v>9964</v>
      </c>
      <c r="D29" s="12">
        <v>450</v>
      </c>
      <c r="E29" s="12">
        <v>1117854</v>
      </c>
      <c r="F29" s="3">
        <v>12.414411899944</v>
      </c>
      <c r="G29" s="24">
        <v>27081</v>
      </c>
      <c r="H29" s="8">
        <f t="shared" si="0"/>
        <v>0.85840085172420011</v>
      </c>
    </row>
    <row r="30" spans="1:8" ht="14.25" customHeight="1">
      <c r="A30" s="4" t="s">
        <v>369</v>
      </c>
      <c r="B30" s="3" t="s">
        <v>44</v>
      </c>
      <c r="C30" s="12">
        <v>9964</v>
      </c>
      <c r="D30" s="12">
        <v>211</v>
      </c>
      <c r="E30" s="12">
        <v>704218</v>
      </c>
      <c r="F30" s="3">
        <v>12.35057894004413</v>
      </c>
      <c r="G30" s="24">
        <v>27081</v>
      </c>
      <c r="H30" s="8">
        <f t="shared" si="0"/>
        <v>1.4043904300432708</v>
      </c>
    </row>
    <row r="31" spans="1:8" ht="14.25" customHeight="1">
      <c r="A31" s="4" t="s">
        <v>30</v>
      </c>
      <c r="B31" s="3" t="s">
        <v>44</v>
      </c>
      <c r="C31" s="12">
        <v>9964</v>
      </c>
      <c r="D31" s="12">
        <v>921</v>
      </c>
      <c r="E31" s="12">
        <v>157717</v>
      </c>
      <c r="F31" s="3">
        <v>12.2263294381709</v>
      </c>
      <c r="G31" s="24">
        <v>27081</v>
      </c>
      <c r="H31" s="8">
        <f t="shared" si="0"/>
        <v>6.0824353955634471</v>
      </c>
    </row>
    <row r="32" spans="1:8" ht="14.25" customHeight="1">
      <c r="A32" s="4" t="s">
        <v>259</v>
      </c>
      <c r="B32" s="3" t="s">
        <v>44</v>
      </c>
      <c r="C32" s="12">
        <v>9964</v>
      </c>
      <c r="D32" s="12">
        <v>155</v>
      </c>
      <c r="E32" s="12">
        <v>257065</v>
      </c>
      <c r="F32" s="3">
        <v>12.15762550327738</v>
      </c>
      <c r="G32" s="24">
        <v>27081</v>
      </c>
      <c r="H32" s="8">
        <f t="shared" si="0"/>
        <v>3.967143365580613</v>
      </c>
    </row>
    <row r="33" spans="1:8" ht="14.25" customHeight="1">
      <c r="A33" s="4" t="s">
        <v>114</v>
      </c>
      <c r="B33" s="3" t="s">
        <v>44</v>
      </c>
      <c r="C33" s="12">
        <v>9964</v>
      </c>
      <c r="D33" s="12">
        <v>599</v>
      </c>
      <c r="E33" s="12">
        <v>713549</v>
      </c>
      <c r="F33" s="3">
        <v>11.56416728213479</v>
      </c>
      <c r="G33" s="24">
        <v>27081</v>
      </c>
      <c r="H33" s="8">
        <f t="shared" si="0"/>
        <v>1.3299080922031743</v>
      </c>
    </row>
    <row r="34" spans="1:8" ht="14.25" customHeight="1">
      <c r="A34" s="4" t="s">
        <v>256</v>
      </c>
      <c r="B34" s="3" t="s">
        <v>44</v>
      </c>
      <c r="C34" s="12">
        <v>9964</v>
      </c>
      <c r="D34" s="12">
        <v>628</v>
      </c>
      <c r="E34" s="12">
        <v>868909</v>
      </c>
      <c r="F34" s="3">
        <v>11.124410036033691</v>
      </c>
      <c r="G34" s="24">
        <v>27081</v>
      </c>
      <c r="H34" s="8">
        <f t="shared" ref="H34:H65" si="1">((C34-D34)/(E34-C34+D34))*100</f>
        <v>1.0861206668892578</v>
      </c>
    </row>
    <row r="35" spans="1:8" ht="14.25" customHeight="1">
      <c r="A35" s="4" t="s">
        <v>518</v>
      </c>
      <c r="B35" s="3" t="s">
        <v>44</v>
      </c>
      <c r="C35" s="12">
        <v>9964</v>
      </c>
      <c r="D35" s="12">
        <v>365</v>
      </c>
      <c r="E35" s="12">
        <v>1134433</v>
      </c>
      <c r="F35" s="3">
        <v>10.23489267325616</v>
      </c>
      <c r="G35" s="24">
        <v>27081</v>
      </c>
      <c r="H35" s="8">
        <f t="shared" si="1"/>
        <v>0.85337036398259647</v>
      </c>
    </row>
    <row r="36" spans="1:8" ht="14.25" customHeight="1">
      <c r="A36" s="4" t="s">
        <v>367</v>
      </c>
      <c r="B36" s="3" t="s">
        <v>44</v>
      </c>
      <c r="C36" s="12">
        <v>9964</v>
      </c>
      <c r="D36" s="12">
        <v>477</v>
      </c>
      <c r="E36" s="12">
        <v>959389</v>
      </c>
      <c r="F36" s="3">
        <v>7.4744446725989153</v>
      </c>
      <c r="G36" s="24">
        <v>27081</v>
      </c>
      <c r="H36" s="8">
        <f t="shared" si="1"/>
        <v>0.99873460630675592</v>
      </c>
    </row>
    <row r="37" spans="1:8" ht="14.25" customHeight="1">
      <c r="A37" s="4" t="s">
        <v>318</v>
      </c>
      <c r="B37" s="3" t="s">
        <v>44</v>
      </c>
      <c r="C37" s="12">
        <v>9964</v>
      </c>
      <c r="D37" s="12">
        <v>391</v>
      </c>
      <c r="E37" s="12">
        <v>1170816</v>
      </c>
      <c r="F37" s="3">
        <v>7.2439221876024931</v>
      </c>
      <c r="G37" s="24">
        <v>27081</v>
      </c>
      <c r="H37" s="8">
        <f t="shared" si="1"/>
        <v>0.82437525995851002</v>
      </c>
    </row>
    <row r="38" spans="1:8" ht="14.25" customHeight="1">
      <c r="A38" s="4" t="s">
        <v>519</v>
      </c>
      <c r="B38" s="3" t="s">
        <v>44</v>
      </c>
      <c r="C38" s="12">
        <v>9964</v>
      </c>
      <c r="D38" s="12">
        <v>764</v>
      </c>
      <c r="E38" s="12">
        <v>690186</v>
      </c>
      <c r="F38" s="3">
        <v>6.3556780346167558</v>
      </c>
      <c r="G38" s="24">
        <v>27081</v>
      </c>
      <c r="H38" s="8">
        <f t="shared" si="1"/>
        <v>1.3509822522048913</v>
      </c>
    </row>
    <row r="39" spans="1:8" ht="14.25" customHeight="1">
      <c r="A39" s="4" t="s">
        <v>114</v>
      </c>
      <c r="B39" s="3" t="s">
        <v>44</v>
      </c>
      <c r="C39" s="12">
        <v>9964</v>
      </c>
      <c r="D39" s="12">
        <v>182</v>
      </c>
      <c r="E39" s="12">
        <v>714759</v>
      </c>
      <c r="F39" s="3">
        <v>5.9603306848881932</v>
      </c>
      <c r="G39" s="24">
        <v>27081</v>
      </c>
      <c r="H39" s="8">
        <f t="shared" si="1"/>
        <v>1.3875629985091711</v>
      </c>
    </row>
    <row r="40" spans="1:8" ht="14.25" customHeight="1">
      <c r="A40" s="4" t="s">
        <v>39</v>
      </c>
      <c r="B40" s="3" t="s">
        <v>44</v>
      </c>
      <c r="C40" s="12">
        <v>9964</v>
      </c>
      <c r="D40" s="12">
        <v>610</v>
      </c>
      <c r="E40" s="12">
        <v>365996</v>
      </c>
      <c r="F40" s="3">
        <v>5.7694619613329108</v>
      </c>
      <c r="G40" s="24">
        <v>27081</v>
      </c>
      <c r="H40" s="8">
        <f t="shared" si="1"/>
        <v>2.6227982122128073</v>
      </c>
    </row>
    <row r="41" spans="1:8" ht="14.25" customHeight="1">
      <c r="A41" s="4" t="s">
        <v>520</v>
      </c>
      <c r="B41" s="3" t="s">
        <v>44</v>
      </c>
      <c r="C41" s="12">
        <v>9964</v>
      </c>
      <c r="D41" s="12">
        <v>479</v>
      </c>
      <c r="E41" s="12">
        <v>1063421</v>
      </c>
      <c r="F41" s="3">
        <v>5.5892257158735816</v>
      </c>
      <c r="G41" s="24">
        <v>27081</v>
      </c>
      <c r="H41" s="8">
        <f t="shared" si="1"/>
        <v>0.89995976985319781</v>
      </c>
    </row>
    <row r="42" spans="1:8" ht="14.25" customHeight="1">
      <c r="A42" s="4" t="s">
        <v>519</v>
      </c>
      <c r="B42" s="3" t="s">
        <v>44</v>
      </c>
      <c r="C42" s="12">
        <v>9964</v>
      </c>
      <c r="D42" s="12">
        <v>224</v>
      </c>
      <c r="E42" s="12">
        <v>677154</v>
      </c>
      <c r="F42" s="3">
        <v>4.1495730660972248</v>
      </c>
      <c r="G42" s="24">
        <v>27081</v>
      </c>
      <c r="H42" s="8">
        <f t="shared" si="1"/>
        <v>1.4593640528967029</v>
      </c>
    </row>
    <row r="43" spans="1:8" ht="14.25" customHeight="1">
      <c r="A43" s="4" t="s">
        <v>205</v>
      </c>
      <c r="B43" s="3" t="s">
        <v>44</v>
      </c>
      <c r="C43" s="12">
        <v>9964</v>
      </c>
      <c r="D43" s="12">
        <v>738</v>
      </c>
      <c r="E43" s="12">
        <v>1168011</v>
      </c>
      <c r="F43" s="3">
        <v>3.8777032065622672</v>
      </c>
      <c r="G43" s="24">
        <v>27081</v>
      </c>
      <c r="H43" s="8">
        <f t="shared" si="1"/>
        <v>0.79617875619722378</v>
      </c>
    </row>
    <row r="44" spans="1:8" ht="14.25" customHeight="1">
      <c r="A44" s="4" t="s">
        <v>521</v>
      </c>
      <c r="B44" s="3" t="s">
        <v>44</v>
      </c>
      <c r="C44" s="12">
        <v>9964</v>
      </c>
      <c r="D44" s="12">
        <v>382</v>
      </c>
      <c r="E44" s="12">
        <v>991495</v>
      </c>
      <c r="F44" s="3">
        <v>3.8694093263203548</v>
      </c>
      <c r="G44" s="24">
        <v>27081</v>
      </c>
      <c r="H44" s="8">
        <f t="shared" si="1"/>
        <v>0.97585020261469202</v>
      </c>
    </row>
    <row r="45" spans="1:8" ht="14.25" customHeight="1">
      <c r="A45" s="4" t="s">
        <v>98</v>
      </c>
      <c r="B45" s="3" t="s">
        <v>44</v>
      </c>
      <c r="C45" s="12">
        <v>9964</v>
      </c>
      <c r="D45" s="12">
        <v>1417</v>
      </c>
      <c r="E45" s="12">
        <v>385849</v>
      </c>
      <c r="F45" s="3">
        <v>3.6633501706626168</v>
      </c>
      <c r="G45" s="24">
        <v>27081</v>
      </c>
      <c r="H45" s="8">
        <f t="shared" si="1"/>
        <v>2.2652941145289449</v>
      </c>
    </row>
    <row r="46" spans="1:8" ht="14.25" customHeight="1">
      <c r="A46" s="4" t="s">
        <v>131</v>
      </c>
      <c r="B46" s="3" t="s">
        <v>44</v>
      </c>
      <c r="C46" s="12">
        <v>9964</v>
      </c>
      <c r="D46" s="12">
        <v>506</v>
      </c>
      <c r="E46" s="12">
        <v>562232</v>
      </c>
      <c r="F46" s="3">
        <v>3.5131404829323132</v>
      </c>
      <c r="G46" s="24">
        <v>27081</v>
      </c>
      <c r="H46" s="8">
        <f t="shared" si="1"/>
        <v>1.711006668186275</v>
      </c>
    </row>
    <row r="47" spans="1:8" ht="14.25" customHeight="1">
      <c r="A47" s="4" t="s">
        <v>131</v>
      </c>
      <c r="B47" s="3" t="s">
        <v>44</v>
      </c>
      <c r="C47" s="12">
        <v>9964</v>
      </c>
      <c r="D47" s="12">
        <v>1193</v>
      </c>
      <c r="E47" s="12">
        <v>538906</v>
      </c>
      <c r="F47" s="3">
        <v>3.4213758985797149</v>
      </c>
      <c r="G47" s="24">
        <v>27081</v>
      </c>
      <c r="H47" s="8">
        <f t="shared" si="1"/>
        <v>1.6544842351476512</v>
      </c>
    </row>
    <row r="48" spans="1:8" ht="14.25" customHeight="1">
      <c r="A48" s="4" t="s">
        <v>367</v>
      </c>
      <c r="B48" s="3" t="s">
        <v>44</v>
      </c>
      <c r="C48" s="12">
        <v>9964</v>
      </c>
      <c r="D48" s="12">
        <v>629</v>
      </c>
      <c r="E48" s="12">
        <v>938068</v>
      </c>
      <c r="F48" s="3">
        <v>3.4123325814333292</v>
      </c>
      <c r="G48" s="24">
        <v>27081</v>
      </c>
      <c r="H48" s="8">
        <f t="shared" si="1"/>
        <v>1.0051327992006314</v>
      </c>
    </row>
    <row r="49" spans="1:8" ht="14.25" customHeight="1">
      <c r="A49" s="4" t="s">
        <v>86</v>
      </c>
      <c r="B49" s="3" t="s">
        <v>44</v>
      </c>
      <c r="C49" s="12">
        <v>9964</v>
      </c>
      <c r="D49" s="12">
        <v>481</v>
      </c>
      <c r="E49" s="12">
        <v>928943</v>
      </c>
      <c r="F49" s="3">
        <v>2.3800168578696428</v>
      </c>
      <c r="G49" s="24">
        <v>27081</v>
      </c>
      <c r="H49" s="8">
        <f t="shared" si="1"/>
        <v>1.0313662367041525</v>
      </c>
    </row>
    <row r="50" spans="1:8" ht="14.25" customHeight="1">
      <c r="A50" s="4" t="s">
        <v>518</v>
      </c>
      <c r="B50" s="3" t="s">
        <v>44</v>
      </c>
      <c r="C50" s="12">
        <v>9964</v>
      </c>
      <c r="D50" s="12">
        <v>842</v>
      </c>
      <c r="E50" s="12">
        <v>1124279</v>
      </c>
      <c r="F50" s="3">
        <v>2.2102165031989389</v>
      </c>
      <c r="G50" s="24">
        <v>27081</v>
      </c>
      <c r="H50" s="8">
        <f t="shared" si="1"/>
        <v>0.81800141146044902</v>
      </c>
    </row>
    <row r="51" spans="1:8" ht="14.25" customHeight="1">
      <c r="A51" s="4" t="s">
        <v>499</v>
      </c>
      <c r="B51" s="3" t="s">
        <v>44</v>
      </c>
      <c r="C51" s="12">
        <v>9964</v>
      </c>
      <c r="D51" s="12">
        <v>592</v>
      </c>
      <c r="E51" s="12">
        <v>631128</v>
      </c>
      <c r="F51" s="3">
        <v>1.6774727155188811</v>
      </c>
      <c r="G51" s="24">
        <v>27081</v>
      </c>
      <c r="H51" s="8">
        <f t="shared" si="1"/>
        <v>1.5073437168278232</v>
      </c>
    </row>
    <row r="52" spans="1:8" ht="14.25" customHeight="1">
      <c r="A52" s="4" t="s">
        <v>297</v>
      </c>
      <c r="B52" s="3" t="s">
        <v>44</v>
      </c>
      <c r="C52" s="12">
        <v>9964</v>
      </c>
      <c r="D52" s="12">
        <v>317</v>
      </c>
      <c r="E52" s="12">
        <v>735242</v>
      </c>
      <c r="F52" s="3">
        <v>1.381177897889402</v>
      </c>
      <c r="G52" s="24">
        <v>27081</v>
      </c>
      <c r="H52" s="8">
        <f t="shared" si="1"/>
        <v>1.3295295585002653</v>
      </c>
    </row>
    <row r="53" spans="1:8" ht="14.25" customHeight="1">
      <c r="A53" s="4" t="s">
        <v>522</v>
      </c>
      <c r="B53" s="3" t="s">
        <v>14</v>
      </c>
      <c r="C53" s="12">
        <v>9964</v>
      </c>
      <c r="D53" s="12">
        <v>993</v>
      </c>
      <c r="E53" s="12">
        <v>280201</v>
      </c>
      <c r="F53" s="3">
        <v>52.792102811910027</v>
      </c>
      <c r="G53" s="24">
        <v>27081</v>
      </c>
      <c r="H53" s="8">
        <f t="shared" si="1"/>
        <v>3.3075249788002803</v>
      </c>
    </row>
    <row r="54" spans="1:8" ht="14.25" customHeight="1">
      <c r="A54" s="4" t="s">
        <v>523</v>
      </c>
      <c r="B54" s="3" t="s">
        <v>14</v>
      </c>
      <c r="C54" s="12">
        <v>9964</v>
      </c>
      <c r="D54" s="12">
        <v>305</v>
      </c>
      <c r="E54" s="12">
        <v>243180</v>
      </c>
      <c r="F54" s="3">
        <v>41.606628834608109</v>
      </c>
      <c r="G54" s="24">
        <v>27081</v>
      </c>
      <c r="H54" s="8">
        <f t="shared" si="1"/>
        <v>4.1362447060435681</v>
      </c>
    </row>
    <row r="55" spans="1:8" ht="14.25" customHeight="1">
      <c r="A55" s="4" t="s">
        <v>523</v>
      </c>
      <c r="B55" s="3" t="s">
        <v>14</v>
      </c>
      <c r="C55" s="12">
        <v>9964</v>
      </c>
      <c r="D55" s="12">
        <v>130</v>
      </c>
      <c r="E55" s="12">
        <v>233720</v>
      </c>
      <c r="F55" s="3">
        <v>39.284614068115687</v>
      </c>
      <c r="G55" s="24">
        <v>27081</v>
      </c>
      <c r="H55" s="8">
        <f t="shared" si="1"/>
        <v>4.3924139964088864</v>
      </c>
    </row>
    <row r="56" spans="1:8" ht="14.25" customHeight="1">
      <c r="A56" s="4" t="s">
        <v>98</v>
      </c>
      <c r="B56" s="3" t="s">
        <v>14</v>
      </c>
      <c r="C56" s="12">
        <v>9964</v>
      </c>
      <c r="D56" s="12">
        <v>176</v>
      </c>
      <c r="E56" s="12">
        <v>371865</v>
      </c>
      <c r="F56" s="3">
        <v>38.012181840183942</v>
      </c>
      <c r="G56" s="24">
        <v>27081</v>
      </c>
      <c r="H56" s="8">
        <f t="shared" si="1"/>
        <v>2.7032923936068847</v>
      </c>
    </row>
    <row r="57" spans="1:8" ht="14.25" customHeight="1">
      <c r="A57" s="4" t="s">
        <v>522</v>
      </c>
      <c r="B57" s="3" t="s">
        <v>14</v>
      </c>
      <c r="C57" s="12">
        <v>9964</v>
      </c>
      <c r="D57" s="12">
        <v>911</v>
      </c>
      <c r="E57" s="12">
        <v>264494</v>
      </c>
      <c r="F57" s="3">
        <v>37.302925586213682</v>
      </c>
      <c r="G57" s="24">
        <v>27081</v>
      </c>
      <c r="H57" s="8">
        <f t="shared" si="1"/>
        <v>3.5440669273922349</v>
      </c>
    </row>
    <row r="58" spans="1:8" ht="14.25" customHeight="1">
      <c r="A58" s="4" t="s">
        <v>57</v>
      </c>
      <c r="B58" s="3" t="s">
        <v>14</v>
      </c>
      <c r="C58" s="12">
        <v>9964</v>
      </c>
      <c r="D58" s="12">
        <v>104</v>
      </c>
      <c r="E58" s="12">
        <v>291024</v>
      </c>
      <c r="F58" s="3">
        <v>28.158158777282971</v>
      </c>
      <c r="G58" s="24">
        <v>27081</v>
      </c>
      <c r="H58" s="8">
        <f t="shared" si="1"/>
        <v>3.5068500946067069</v>
      </c>
    </row>
    <row r="59" spans="1:8" ht="14.25" customHeight="1">
      <c r="A59" s="4" t="s">
        <v>57</v>
      </c>
      <c r="B59" s="3" t="s">
        <v>14</v>
      </c>
      <c r="C59" s="12">
        <v>9964</v>
      </c>
      <c r="D59" s="12">
        <v>981</v>
      </c>
      <c r="E59" s="12">
        <v>296820</v>
      </c>
      <c r="F59" s="3">
        <v>23.920557913887201</v>
      </c>
      <c r="G59" s="24">
        <v>27081</v>
      </c>
      <c r="H59" s="8">
        <f t="shared" si="1"/>
        <v>3.1208635442976407</v>
      </c>
    </row>
    <row r="60" spans="1:8" ht="14.25" customHeight="1">
      <c r="A60" s="4" t="s">
        <v>235</v>
      </c>
      <c r="B60" s="3" t="s">
        <v>14</v>
      </c>
      <c r="C60" s="12">
        <v>9964</v>
      </c>
      <c r="D60" s="12">
        <v>326</v>
      </c>
      <c r="E60" s="12">
        <v>604702</v>
      </c>
      <c r="F60" s="3">
        <v>23.435841125050029</v>
      </c>
      <c r="G60" s="24">
        <v>27081</v>
      </c>
      <c r="H60" s="8">
        <f t="shared" si="1"/>
        <v>1.6196577174892111</v>
      </c>
    </row>
    <row r="61" spans="1:8" ht="14.25" customHeight="1">
      <c r="A61" s="4" t="s">
        <v>369</v>
      </c>
      <c r="B61" s="3" t="s">
        <v>14</v>
      </c>
      <c r="C61" s="12">
        <v>9964</v>
      </c>
      <c r="D61" s="12">
        <v>67</v>
      </c>
      <c r="E61" s="12">
        <v>709957</v>
      </c>
      <c r="F61" s="3">
        <v>20.774215903216671</v>
      </c>
      <c r="G61" s="24">
        <v>27081</v>
      </c>
      <c r="H61" s="8">
        <f t="shared" si="1"/>
        <v>1.4137359654886723</v>
      </c>
    </row>
    <row r="62" spans="1:8" ht="14.25" customHeight="1">
      <c r="A62" s="4" t="s">
        <v>499</v>
      </c>
      <c r="B62" s="3" t="s">
        <v>14</v>
      </c>
      <c r="C62" s="12">
        <v>9964</v>
      </c>
      <c r="D62" s="12">
        <v>418</v>
      </c>
      <c r="E62" s="12">
        <v>647160</v>
      </c>
      <c r="F62" s="3">
        <v>20.240280610668151</v>
      </c>
      <c r="G62" s="24">
        <v>27081</v>
      </c>
      <c r="H62" s="8">
        <f t="shared" si="1"/>
        <v>1.4971440401245895</v>
      </c>
    </row>
    <row r="63" spans="1:8" ht="14.25" customHeight="1">
      <c r="A63" s="4" t="s">
        <v>297</v>
      </c>
      <c r="B63" s="3" t="s">
        <v>14</v>
      </c>
      <c r="C63" s="12">
        <v>9964</v>
      </c>
      <c r="D63" s="12">
        <v>204</v>
      </c>
      <c r="E63" s="12">
        <v>730928</v>
      </c>
      <c r="F63" s="3">
        <v>19.449384891535139</v>
      </c>
      <c r="G63" s="24">
        <v>27081</v>
      </c>
      <c r="H63" s="8">
        <f t="shared" si="1"/>
        <v>1.3533601047190114</v>
      </c>
    </row>
    <row r="64" spans="1:8" ht="14.25" customHeight="1">
      <c r="A64" s="4" t="s">
        <v>114</v>
      </c>
      <c r="B64" s="3" t="s">
        <v>14</v>
      </c>
      <c r="C64" s="12">
        <v>9964</v>
      </c>
      <c r="D64" s="12">
        <v>1089</v>
      </c>
      <c r="E64" s="12">
        <v>723286</v>
      </c>
      <c r="F64" s="3">
        <v>19.25863351426683</v>
      </c>
      <c r="G64" s="24">
        <v>27081</v>
      </c>
      <c r="H64" s="8">
        <f t="shared" si="1"/>
        <v>1.2422821037190077</v>
      </c>
    </row>
    <row r="65" spans="1:8" ht="14.25" customHeight="1">
      <c r="A65" s="4" t="s">
        <v>297</v>
      </c>
      <c r="B65" s="3" t="s">
        <v>14</v>
      </c>
      <c r="C65" s="12">
        <v>9964</v>
      </c>
      <c r="D65" s="12">
        <v>998</v>
      </c>
      <c r="E65" s="12">
        <v>741416</v>
      </c>
      <c r="F65" s="3">
        <v>18.0667803230575</v>
      </c>
      <c r="G65" s="24">
        <v>27081</v>
      </c>
      <c r="H65" s="8">
        <f t="shared" si="1"/>
        <v>1.2241108608096116</v>
      </c>
    </row>
    <row r="66" spans="1:8" ht="14.25" customHeight="1">
      <c r="A66" s="4" t="s">
        <v>345</v>
      </c>
      <c r="B66" s="3" t="s">
        <v>14</v>
      </c>
      <c r="C66" s="12">
        <v>9964</v>
      </c>
      <c r="D66" s="12">
        <v>475</v>
      </c>
      <c r="E66" s="12">
        <v>210260</v>
      </c>
      <c r="F66" s="3">
        <v>17.894035955483691</v>
      </c>
      <c r="G66" s="24">
        <v>27081</v>
      </c>
      <c r="H66" s="8">
        <f t="shared" ref="H66:H97" si="2">((C66-D66)/(E66-C66+D66))*100</f>
        <v>4.7262801898680591</v>
      </c>
    </row>
    <row r="67" spans="1:8" ht="14.25" customHeight="1">
      <c r="A67" s="4" t="s">
        <v>136</v>
      </c>
      <c r="B67" s="3" t="s">
        <v>14</v>
      </c>
      <c r="C67" s="12">
        <v>9964</v>
      </c>
      <c r="D67" s="12">
        <v>550</v>
      </c>
      <c r="E67" s="12">
        <v>438545</v>
      </c>
      <c r="F67" s="3">
        <v>17.750287883797562</v>
      </c>
      <c r="G67" s="24">
        <v>27081</v>
      </c>
      <c r="H67" s="8">
        <f t="shared" si="2"/>
        <v>2.1937357124048367</v>
      </c>
    </row>
    <row r="68" spans="1:8" ht="14.25" customHeight="1">
      <c r="A68" s="4" t="s">
        <v>354</v>
      </c>
      <c r="B68" s="3" t="s">
        <v>14</v>
      </c>
      <c r="C68" s="12">
        <v>9964</v>
      </c>
      <c r="D68" s="12">
        <v>904</v>
      </c>
      <c r="E68" s="12">
        <v>581126</v>
      </c>
      <c r="F68" s="3">
        <v>17.560907617280929</v>
      </c>
      <c r="G68" s="24">
        <v>27081</v>
      </c>
      <c r="H68" s="8">
        <f t="shared" si="2"/>
        <v>1.583733345453147</v>
      </c>
    </row>
    <row r="69" spans="1:8" ht="14.25" customHeight="1">
      <c r="A69" s="4" t="s">
        <v>519</v>
      </c>
      <c r="B69" s="3" t="s">
        <v>14</v>
      </c>
      <c r="C69" s="12">
        <v>9964</v>
      </c>
      <c r="D69" s="12">
        <v>437</v>
      </c>
      <c r="E69" s="12">
        <v>682556</v>
      </c>
      <c r="F69" s="3">
        <v>17.44750613869045</v>
      </c>
      <c r="G69" s="24">
        <v>27081</v>
      </c>
      <c r="H69" s="8">
        <f t="shared" si="2"/>
        <v>1.4155407865039991</v>
      </c>
    </row>
    <row r="70" spans="1:8" ht="14.25" customHeight="1">
      <c r="A70" s="4" t="s">
        <v>245</v>
      </c>
      <c r="B70" s="3" t="s">
        <v>14</v>
      </c>
      <c r="C70" s="12">
        <v>9964</v>
      </c>
      <c r="D70" s="12">
        <v>143</v>
      </c>
      <c r="E70" s="12">
        <v>903387</v>
      </c>
      <c r="F70" s="3">
        <v>15.903372530266649</v>
      </c>
      <c r="G70" s="24">
        <v>27081</v>
      </c>
      <c r="H70" s="8">
        <f t="shared" si="2"/>
        <v>1.0990794188677724</v>
      </c>
    </row>
    <row r="71" spans="1:8" ht="14.25" customHeight="1">
      <c r="A71" s="4" t="s">
        <v>515</v>
      </c>
      <c r="B71" s="3" t="s">
        <v>14</v>
      </c>
      <c r="C71" s="12">
        <v>9964</v>
      </c>
      <c r="D71" s="12">
        <v>398</v>
      </c>
      <c r="E71" s="12">
        <v>807142</v>
      </c>
      <c r="F71" s="3">
        <v>15.211945357818079</v>
      </c>
      <c r="G71" s="24">
        <v>27081</v>
      </c>
      <c r="H71" s="8">
        <f t="shared" si="2"/>
        <v>1.1993841339257951</v>
      </c>
    </row>
    <row r="72" spans="1:8" ht="14.25" customHeight="1">
      <c r="A72" s="4" t="s">
        <v>245</v>
      </c>
      <c r="B72" s="3" t="s">
        <v>14</v>
      </c>
      <c r="C72" s="12">
        <v>9964</v>
      </c>
      <c r="D72" s="12">
        <v>291</v>
      </c>
      <c r="E72" s="12">
        <v>900862</v>
      </c>
      <c r="F72" s="3">
        <v>14.24879726306582</v>
      </c>
      <c r="G72" s="24">
        <v>27081</v>
      </c>
      <c r="H72" s="8">
        <f t="shared" si="2"/>
        <v>1.0854038817804079</v>
      </c>
    </row>
    <row r="73" spans="1:8" ht="14.25" customHeight="1">
      <c r="A73" s="4" t="s">
        <v>406</v>
      </c>
      <c r="B73" s="3" t="s">
        <v>14</v>
      </c>
      <c r="C73" s="12">
        <v>9964</v>
      </c>
      <c r="D73" s="12">
        <v>348</v>
      </c>
      <c r="E73" s="12">
        <v>1037497</v>
      </c>
      <c r="F73" s="3">
        <v>14.03040201562029</v>
      </c>
      <c r="G73" s="24">
        <v>27081</v>
      </c>
      <c r="H73" s="8">
        <f t="shared" si="2"/>
        <v>0.93551685457752398</v>
      </c>
    </row>
    <row r="74" spans="1:8" ht="14.25" customHeight="1">
      <c r="A74" s="4" t="s">
        <v>520</v>
      </c>
      <c r="B74" s="3" t="s">
        <v>14</v>
      </c>
      <c r="C74" s="12">
        <v>9964</v>
      </c>
      <c r="D74" s="12">
        <v>120</v>
      </c>
      <c r="E74" s="12">
        <v>1066648</v>
      </c>
      <c r="F74" s="3">
        <v>13.86474263299608</v>
      </c>
      <c r="G74" s="24">
        <v>27081</v>
      </c>
      <c r="H74" s="8">
        <f t="shared" si="2"/>
        <v>0.93148776878210149</v>
      </c>
    </row>
    <row r="75" spans="1:8" ht="14.25" customHeight="1">
      <c r="A75" s="4" t="s">
        <v>516</v>
      </c>
      <c r="B75" s="3" t="s">
        <v>14</v>
      </c>
      <c r="C75" s="12">
        <v>9964</v>
      </c>
      <c r="D75" s="12">
        <v>128</v>
      </c>
      <c r="E75" s="12">
        <v>492814</v>
      </c>
      <c r="F75" s="3">
        <v>12.734216154573531</v>
      </c>
      <c r="G75" s="24">
        <v>27081</v>
      </c>
      <c r="H75" s="8">
        <f t="shared" si="2"/>
        <v>2.0365316846730082</v>
      </c>
    </row>
    <row r="76" spans="1:8" ht="14.25" customHeight="1">
      <c r="A76" s="4" t="s">
        <v>499</v>
      </c>
      <c r="B76" s="3" t="s">
        <v>14</v>
      </c>
      <c r="C76" s="12">
        <v>9964</v>
      </c>
      <c r="D76" s="12">
        <v>176</v>
      </c>
      <c r="E76" s="12">
        <v>640691</v>
      </c>
      <c r="F76" s="3">
        <v>12.426427091999111</v>
      </c>
      <c r="G76" s="24">
        <v>27081</v>
      </c>
      <c r="H76" s="8">
        <f t="shared" si="2"/>
        <v>1.5514270815006428</v>
      </c>
    </row>
    <row r="77" spans="1:8" ht="14.25" customHeight="1">
      <c r="A77" s="4" t="s">
        <v>524</v>
      </c>
      <c r="B77" s="3" t="s">
        <v>14</v>
      </c>
      <c r="C77" s="12">
        <v>9964</v>
      </c>
      <c r="D77" s="12">
        <v>795</v>
      </c>
      <c r="E77" s="12">
        <v>1106373</v>
      </c>
      <c r="F77" s="3">
        <v>12.21550055903389</v>
      </c>
      <c r="G77" s="24">
        <v>27081</v>
      </c>
      <c r="H77" s="8">
        <f t="shared" si="2"/>
        <v>0.83566957466432856</v>
      </c>
    </row>
    <row r="78" spans="1:8" ht="14.25" customHeight="1">
      <c r="A78" s="4" t="s">
        <v>514</v>
      </c>
      <c r="B78" s="3" t="s">
        <v>14</v>
      </c>
      <c r="C78" s="12">
        <v>9964</v>
      </c>
      <c r="D78" s="12">
        <v>1233</v>
      </c>
      <c r="E78" s="12">
        <v>756944</v>
      </c>
      <c r="F78" s="3">
        <v>11.391727789638329</v>
      </c>
      <c r="G78" s="24">
        <v>27081</v>
      </c>
      <c r="H78" s="8">
        <f t="shared" si="2"/>
        <v>1.1669136997085054</v>
      </c>
    </row>
    <row r="79" spans="1:8" ht="14.25" customHeight="1">
      <c r="A79" s="4" t="s">
        <v>205</v>
      </c>
      <c r="B79" s="3" t="s">
        <v>14</v>
      </c>
      <c r="C79" s="12">
        <v>9964</v>
      </c>
      <c r="D79" s="12">
        <v>145</v>
      </c>
      <c r="E79" s="12">
        <v>1152775</v>
      </c>
      <c r="F79" s="3">
        <v>11.093752033137431</v>
      </c>
      <c r="G79" s="24">
        <v>27081</v>
      </c>
      <c r="H79" s="8">
        <f t="shared" si="2"/>
        <v>0.85908818887166261</v>
      </c>
    </row>
    <row r="80" spans="1:8" ht="14.25" customHeight="1">
      <c r="A80" s="4" t="s">
        <v>245</v>
      </c>
      <c r="B80" s="3" t="s">
        <v>14</v>
      </c>
      <c r="C80" s="12">
        <v>9964</v>
      </c>
      <c r="D80" s="12">
        <v>743</v>
      </c>
      <c r="E80" s="12">
        <v>911084</v>
      </c>
      <c r="F80" s="3">
        <v>10.593534734448189</v>
      </c>
      <c r="G80" s="24">
        <v>27081</v>
      </c>
      <c r="H80" s="8">
        <f t="shared" si="2"/>
        <v>1.0224391066048835</v>
      </c>
    </row>
    <row r="81" spans="1:8" ht="14.25" customHeight="1">
      <c r="A81" s="4" t="s">
        <v>181</v>
      </c>
      <c r="B81" s="3" t="s">
        <v>14</v>
      </c>
      <c r="C81" s="12">
        <v>9964</v>
      </c>
      <c r="D81" s="12">
        <v>1363</v>
      </c>
      <c r="E81" s="12">
        <v>413369</v>
      </c>
      <c r="F81" s="3">
        <v>10.494255737609739</v>
      </c>
      <c r="G81" s="24">
        <v>27081</v>
      </c>
      <c r="H81" s="8">
        <f t="shared" si="2"/>
        <v>2.1249209423669853</v>
      </c>
    </row>
    <row r="82" spans="1:8" ht="14.25" customHeight="1">
      <c r="A82" s="4" t="s">
        <v>517</v>
      </c>
      <c r="B82" s="3" t="s">
        <v>14</v>
      </c>
      <c r="C82" s="12">
        <v>9964</v>
      </c>
      <c r="D82" s="12">
        <v>470</v>
      </c>
      <c r="E82" s="12">
        <v>1005094</v>
      </c>
      <c r="F82" s="3">
        <v>10.43086517280971</v>
      </c>
      <c r="G82" s="24">
        <v>27081</v>
      </c>
      <c r="H82" s="8">
        <f t="shared" si="2"/>
        <v>0.95359582161510648</v>
      </c>
    </row>
    <row r="83" spans="1:8" ht="14.25" customHeight="1">
      <c r="A83" s="4" t="s">
        <v>523</v>
      </c>
      <c r="B83" s="3" t="s">
        <v>14</v>
      </c>
      <c r="C83" s="12">
        <v>9964</v>
      </c>
      <c r="D83" s="12">
        <v>536</v>
      </c>
      <c r="E83" s="12">
        <v>239956</v>
      </c>
      <c r="F83" s="3">
        <v>9.8205504342462788</v>
      </c>
      <c r="G83" s="24">
        <v>27081</v>
      </c>
      <c r="H83" s="8">
        <f t="shared" si="2"/>
        <v>4.0897418101054965</v>
      </c>
    </row>
    <row r="84" spans="1:8" ht="14.25" customHeight="1">
      <c r="A84" s="4" t="s">
        <v>524</v>
      </c>
      <c r="B84" s="3" t="s">
        <v>14</v>
      </c>
      <c r="C84" s="12">
        <v>9964</v>
      </c>
      <c r="D84" s="12">
        <v>720</v>
      </c>
      <c r="E84" s="12">
        <v>1095217</v>
      </c>
      <c r="F84" s="3">
        <v>9.589697749395782</v>
      </c>
      <c r="G84" s="24">
        <v>27081</v>
      </c>
      <c r="H84" s="8">
        <f t="shared" si="2"/>
        <v>0.85121821629082861</v>
      </c>
    </row>
    <row r="85" spans="1:8" ht="14.25" customHeight="1">
      <c r="A85" s="4" t="s">
        <v>524</v>
      </c>
      <c r="B85" s="3" t="s">
        <v>14</v>
      </c>
      <c r="C85" s="12">
        <v>9964</v>
      </c>
      <c r="D85" s="12">
        <v>416</v>
      </c>
      <c r="E85" s="12">
        <v>1101585</v>
      </c>
      <c r="F85" s="3">
        <v>9.3041390360253633</v>
      </c>
      <c r="G85" s="24">
        <v>27081</v>
      </c>
      <c r="H85" s="8">
        <f t="shared" si="2"/>
        <v>0.87432934964657794</v>
      </c>
    </row>
    <row r="86" spans="1:8" ht="14.25" customHeight="1">
      <c r="A86" s="4" t="s">
        <v>30</v>
      </c>
      <c r="B86" s="3" t="s">
        <v>14</v>
      </c>
      <c r="C86" s="12">
        <v>9964</v>
      </c>
      <c r="D86" s="12">
        <v>369</v>
      </c>
      <c r="E86" s="12">
        <v>170518</v>
      </c>
      <c r="F86" s="3">
        <v>9.2506362964613711</v>
      </c>
      <c r="G86" s="24">
        <v>27081</v>
      </c>
      <c r="H86" s="8">
        <f t="shared" si="2"/>
        <v>5.9624789495597277</v>
      </c>
    </row>
    <row r="87" spans="1:8" ht="14.25" customHeight="1">
      <c r="A87" s="4" t="s">
        <v>318</v>
      </c>
      <c r="B87" s="3" t="s">
        <v>14</v>
      </c>
      <c r="C87" s="12">
        <v>9964</v>
      </c>
      <c r="D87" s="12">
        <v>1140</v>
      </c>
      <c r="E87" s="12">
        <v>1177841</v>
      </c>
      <c r="F87" s="3">
        <v>9.095964565675672</v>
      </c>
      <c r="G87" s="24">
        <v>27081</v>
      </c>
      <c r="H87" s="8">
        <f t="shared" si="2"/>
        <v>0.75482221387712922</v>
      </c>
    </row>
    <row r="88" spans="1:8" ht="14.25" customHeight="1">
      <c r="A88" s="4" t="s">
        <v>525</v>
      </c>
      <c r="B88" s="3" t="s">
        <v>14</v>
      </c>
      <c r="C88" s="12">
        <v>9964</v>
      </c>
      <c r="D88" s="12">
        <v>710</v>
      </c>
      <c r="E88" s="12">
        <v>620702</v>
      </c>
      <c r="F88" s="3">
        <v>9.07118069540617</v>
      </c>
      <c r="G88" s="24">
        <v>27081</v>
      </c>
      <c r="H88" s="8">
        <f t="shared" si="2"/>
        <v>1.5134565817534771</v>
      </c>
    </row>
    <row r="89" spans="1:8" ht="14.25" customHeight="1">
      <c r="A89" s="4" t="s">
        <v>203</v>
      </c>
      <c r="B89" s="3" t="s">
        <v>14</v>
      </c>
      <c r="C89" s="12">
        <v>9964</v>
      </c>
      <c r="D89" s="12">
        <v>173</v>
      </c>
      <c r="E89" s="12">
        <v>1135945</v>
      </c>
      <c r="F89" s="3">
        <v>8.7776256772995165</v>
      </c>
      <c r="G89" s="24">
        <v>27081</v>
      </c>
      <c r="H89" s="8">
        <f t="shared" si="2"/>
        <v>0.86941928013397807</v>
      </c>
    </row>
    <row r="90" spans="1:8" ht="14.25" customHeight="1">
      <c r="A90" s="4" t="s">
        <v>517</v>
      </c>
      <c r="B90" s="3" t="s">
        <v>14</v>
      </c>
      <c r="C90" s="12">
        <v>9964</v>
      </c>
      <c r="D90" s="12">
        <v>433</v>
      </c>
      <c r="E90" s="12">
        <v>1018238</v>
      </c>
      <c r="F90" s="3">
        <v>8.7022876773406619</v>
      </c>
      <c r="G90" s="24">
        <v>27081</v>
      </c>
      <c r="H90" s="8">
        <f t="shared" si="2"/>
        <v>0.94487299086850796</v>
      </c>
    </row>
    <row r="91" spans="1:8" ht="14.25" customHeight="1">
      <c r="A91" s="4" t="s">
        <v>354</v>
      </c>
      <c r="B91" s="3" t="s">
        <v>14</v>
      </c>
      <c r="C91" s="12">
        <v>9964</v>
      </c>
      <c r="D91" s="12">
        <v>1073</v>
      </c>
      <c r="E91" s="12">
        <v>589486</v>
      </c>
      <c r="F91" s="3">
        <v>7.2934726185185053</v>
      </c>
      <c r="G91" s="24">
        <v>27081</v>
      </c>
      <c r="H91" s="8">
        <f t="shared" si="2"/>
        <v>1.5313600702727375</v>
      </c>
    </row>
    <row r="92" spans="1:8" ht="14.25" customHeight="1">
      <c r="A92" s="4" t="s">
        <v>111</v>
      </c>
      <c r="B92" s="3" t="s">
        <v>14</v>
      </c>
      <c r="C92" s="12">
        <v>9964</v>
      </c>
      <c r="D92" s="12">
        <v>441</v>
      </c>
      <c r="E92" s="12">
        <v>1077624</v>
      </c>
      <c r="F92" s="3">
        <v>6.8954477628560609</v>
      </c>
      <c r="G92" s="24">
        <v>27081</v>
      </c>
      <c r="H92" s="8">
        <f t="shared" si="2"/>
        <v>0.89158235035825262</v>
      </c>
    </row>
    <row r="93" spans="1:8" ht="14.25" customHeight="1">
      <c r="A93" s="4" t="s">
        <v>231</v>
      </c>
      <c r="B93" s="3" t="s">
        <v>14</v>
      </c>
      <c r="C93" s="12">
        <v>9964</v>
      </c>
      <c r="D93" s="12">
        <v>1072</v>
      </c>
      <c r="E93" s="12">
        <v>973452</v>
      </c>
      <c r="F93" s="3">
        <v>6.5651927367759271</v>
      </c>
      <c r="G93" s="24">
        <v>27081</v>
      </c>
      <c r="H93" s="8">
        <f t="shared" si="2"/>
        <v>0.92187111221696938</v>
      </c>
    </row>
    <row r="94" spans="1:8" ht="14.25" customHeight="1">
      <c r="A94" s="4" t="s">
        <v>406</v>
      </c>
      <c r="B94" s="3" t="s">
        <v>14</v>
      </c>
      <c r="C94" s="12">
        <v>9964</v>
      </c>
      <c r="D94" s="12">
        <v>517</v>
      </c>
      <c r="E94" s="12">
        <v>1034649</v>
      </c>
      <c r="F94" s="3">
        <v>6.4086467971263694</v>
      </c>
      <c r="G94" s="24">
        <v>27081</v>
      </c>
      <c r="H94" s="8">
        <f t="shared" si="2"/>
        <v>0.92147693820339804</v>
      </c>
    </row>
    <row r="95" spans="1:8" ht="14.25" customHeight="1">
      <c r="A95" s="4" t="s">
        <v>514</v>
      </c>
      <c r="B95" s="3" t="s">
        <v>14</v>
      </c>
      <c r="C95" s="12">
        <v>9964</v>
      </c>
      <c r="D95" s="12">
        <v>746</v>
      </c>
      <c r="E95" s="12">
        <v>769535</v>
      </c>
      <c r="F95" s="3">
        <v>6.3086149427901264</v>
      </c>
      <c r="G95" s="24">
        <v>27081</v>
      </c>
      <c r="H95" s="8">
        <f t="shared" si="2"/>
        <v>1.2123890429912787</v>
      </c>
    </row>
    <row r="96" spans="1:8" ht="14.25" customHeight="1">
      <c r="A96" s="4" t="s">
        <v>517</v>
      </c>
      <c r="B96" s="3" t="s">
        <v>14</v>
      </c>
      <c r="C96" s="12">
        <v>9964</v>
      </c>
      <c r="D96" s="12">
        <v>543</v>
      </c>
      <c r="E96" s="12">
        <v>1025605</v>
      </c>
      <c r="F96" s="3">
        <v>6.0590578244060822</v>
      </c>
      <c r="G96" s="24">
        <v>27081</v>
      </c>
      <c r="H96" s="8">
        <f t="shared" si="2"/>
        <v>0.9270958802736512</v>
      </c>
    </row>
    <row r="97" spans="1:8" ht="14.25" customHeight="1">
      <c r="A97" s="4" t="s">
        <v>261</v>
      </c>
      <c r="B97" s="3" t="s">
        <v>14</v>
      </c>
      <c r="C97" s="12">
        <v>9964</v>
      </c>
      <c r="D97" s="12">
        <v>792</v>
      </c>
      <c r="E97" s="12">
        <v>670642</v>
      </c>
      <c r="F97" s="3">
        <v>5.301785453341723</v>
      </c>
      <c r="G97" s="24">
        <v>27081</v>
      </c>
      <c r="H97" s="8">
        <f t="shared" si="2"/>
        <v>1.3866086141472782</v>
      </c>
    </row>
    <row r="98" spans="1:8" ht="14.25" customHeight="1">
      <c r="A98" s="4" t="s">
        <v>318</v>
      </c>
      <c r="B98" s="3" t="s">
        <v>14</v>
      </c>
      <c r="C98" s="12">
        <v>9964</v>
      </c>
      <c r="D98" s="12">
        <v>180</v>
      </c>
      <c r="E98" s="12">
        <v>1178962</v>
      </c>
      <c r="F98" s="3">
        <v>5.2275645864752214</v>
      </c>
      <c r="G98" s="24">
        <v>27081</v>
      </c>
      <c r="H98" s="8">
        <f t="shared" ref="H98:H129" si="3">((C98-D98)/(E98-C98+D98))*100</f>
        <v>0.83682724101890382</v>
      </c>
    </row>
    <row r="99" spans="1:8" ht="14.25" customHeight="1">
      <c r="A99" s="4" t="s">
        <v>69</v>
      </c>
      <c r="B99" s="3" t="s">
        <v>14</v>
      </c>
      <c r="C99" s="12">
        <v>9964</v>
      </c>
      <c r="D99" s="12">
        <v>502</v>
      </c>
      <c r="E99" s="12">
        <v>320404</v>
      </c>
      <c r="F99" s="3">
        <v>5.2152906954969351</v>
      </c>
      <c r="G99" s="24">
        <v>27081</v>
      </c>
      <c r="H99" s="8">
        <f t="shared" si="3"/>
        <v>3.0430112368223012</v>
      </c>
    </row>
    <row r="100" spans="1:8" ht="14.25" customHeight="1">
      <c r="A100" s="4" t="s">
        <v>526</v>
      </c>
      <c r="B100" s="3" t="s">
        <v>14</v>
      </c>
      <c r="C100" s="12">
        <v>9964</v>
      </c>
      <c r="D100" s="12">
        <v>183</v>
      </c>
      <c r="E100" s="12">
        <v>447968</v>
      </c>
      <c r="F100" s="3">
        <v>4.7335970426459033</v>
      </c>
      <c r="G100" s="24">
        <v>27081</v>
      </c>
      <c r="H100" s="8">
        <f t="shared" si="3"/>
        <v>2.2321520264179449</v>
      </c>
    </row>
    <row r="101" spans="1:8" ht="14.25" customHeight="1">
      <c r="A101" s="4" t="s">
        <v>256</v>
      </c>
      <c r="B101" s="3" t="s">
        <v>14</v>
      </c>
      <c r="C101" s="12">
        <v>9964</v>
      </c>
      <c r="D101" s="12">
        <v>823</v>
      </c>
      <c r="E101" s="12">
        <v>853477</v>
      </c>
      <c r="F101" s="3">
        <v>4.6300017457998282</v>
      </c>
      <c r="G101" s="24">
        <v>27081</v>
      </c>
      <c r="H101" s="8">
        <f t="shared" si="3"/>
        <v>1.0826258740596162</v>
      </c>
    </row>
    <row r="102" spans="1:8" ht="14.25" customHeight="1">
      <c r="A102" s="4" t="s">
        <v>406</v>
      </c>
      <c r="B102" s="3" t="s">
        <v>14</v>
      </c>
      <c r="C102" s="12">
        <v>9964</v>
      </c>
      <c r="D102" s="12">
        <v>508</v>
      </c>
      <c r="E102" s="12">
        <v>1051021</v>
      </c>
      <c r="F102" s="3">
        <v>4.2080986012648651</v>
      </c>
      <c r="G102" s="24">
        <v>27081</v>
      </c>
      <c r="H102" s="8">
        <f t="shared" si="3"/>
        <v>0.90786460758570042</v>
      </c>
    </row>
    <row r="103" spans="1:8" ht="14.25" customHeight="1">
      <c r="A103" s="4" t="s">
        <v>185</v>
      </c>
      <c r="B103" s="3" t="s">
        <v>14</v>
      </c>
      <c r="C103" s="12">
        <v>9964</v>
      </c>
      <c r="D103" s="12">
        <v>726</v>
      </c>
      <c r="E103" s="12">
        <v>781868</v>
      </c>
      <c r="F103" s="3">
        <v>4.0220344099003924</v>
      </c>
      <c r="G103" s="24">
        <v>27081</v>
      </c>
      <c r="H103" s="8">
        <f t="shared" si="3"/>
        <v>1.1956563943931766</v>
      </c>
    </row>
    <row r="104" spans="1:8" ht="14.25" customHeight="1">
      <c r="A104" s="4" t="s">
        <v>205</v>
      </c>
      <c r="B104" s="3" t="s">
        <v>14</v>
      </c>
      <c r="C104" s="12">
        <v>9964</v>
      </c>
      <c r="D104" s="12">
        <v>189</v>
      </c>
      <c r="E104" s="12">
        <v>1160052</v>
      </c>
      <c r="F104" s="3">
        <v>2.8935771844710412</v>
      </c>
      <c r="G104" s="24">
        <v>27081</v>
      </c>
      <c r="H104" s="8">
        <f t="shared" si="3"/>
        <v>0.84979531017311483</v>
      </c>
    </row>
    <row r="105" spans="1:8" ht="14.25" customHeight="1">
      <c r="A105" s="4" t="s">
        <v>86</v>
      </c>
      <c r="B105" s="3" t="s">
        <v>14</v>
      </c>
      <c r="C105" s="12">
        <v>9964</v>
      </c>
      <c r="D105" s="12">
        <v>430</v>
      </c>
      <c r="E105" s="12">
        <v>917475</v>
      </c>
      <c r="F105" s="3">
        <v>2.7289026948963189</v>
      </c>
      <c r="G105" s="24">
        <v>27081</v>
      </c>
      <c r="H105" s="8">
        <f t="shared" si="3"/>
        <v>1.0500682313057788</v>
      </c>
    </row>
    <row r="106" spans="1:8" ht="14.25" customHeight="1">
      <c r="A106" s="4" t="s">
        <v>521</v>
      </c>
      <c r="B106" s="3" t="s">
        <v>14</v>
      </c>
      <c r="C106" s="12">
        <v>9964</v>
      </c>
      <c r="D106" s="12">
        <v>292</v>
      </c>
      <c r="E106" s="12">
        <v>997585</v>
      </c>
      <c r="F106" s="3">
        <v>2.4004972007397871</v>
      </c>
      <c r="G106" s="24">
        <v>27081</v>
      </c>
      <c r="H106" s="8">
        <f t="shared" si="3"/>
        <v>0.97903357886777476</v>
      </c>
    </row>
    <row r="107" spans="1:8" ht="14.25" customHeight="1">
      <c r="A107" s="4" t="s">
        <v>524</v>
      </c>
      <c r="B107" s="3" t="s">
        <v>14</v>
      </c>
      <c r="C107" s="12">
        <v>9964</v>
      </c>
      <c r="D107" s="12">
        <v>956</v>
      </c>
      <c r="E107" s="12">
        <v>1112363</v>
      </c>
      <c r="F107" s="3">
        <v>1.64146056637986</v>
      </c>
      <c r="G107" s="24">
        <v>27081</v>
      </c>
      <c r="H107" s="8">
        <f t="shared" si="3"/>
        <v>0.81641901291968577</v>
      </c>
    </row>
    <row r="108" spans="1:8" ht="14.25" customHeight="1">
      <c r="A108" s="4" t="s">
        <v>90</v>
      </c>
      <c r="B108" s="3" t="s">
        <v>62</v>
      </c>
      <c r="C108" s="12">
        <v>9964</v>
      </c>
      <c r="D108" s="12">
        <v>1261</v>
      </c>
      <c r="E108" s="12">
        <v>111209</v>
      </c>
      <c r="F108" s="3">
        <v>69.475492091467416</v>
      </c>
      <c r="G108" s="24">
        <v>27081</v>
      </c>
      <c r="H108" s="8">
        <f t="shared" si="3"/>
        <v>8.4902347179677289</v>
      </c>
    </row>
    <row r="109" spans="1:8" ht="14.25" customHeight="1">
      <c r="A109" s="4" t="s">
        <v>76</v>
      </c>
      <c r="B109" s="3" t="s">
        <v>62</v>
      </c>
      <c r="C109" s="12">
        <v>9964</v>
      </c>
      <c r="D109" s="12">
        <v>471</v>
      </c>
      <c r="E109" s="12">
        <v>204818</v>
      </c>
      <c r="F109" s="3">
        <v>60.827661631301943</v>
      </c>
      <c r="G109" s="24">
        <v>27081</v>
      </c>
      <c r="H109" s="8">
        <f t="shared" si="3"/>
        <v>4.8601049532829901</v>
      </c>
    </row>
    <row r="110" spans="1:8" ht="14.25" customHeight="1">
      <c r="A110" s="4" t="s">
        <v>76</v>
      </c>
      <c r="B110" s="3" t="s">
        <v>62</v>
      </c>
      <c r="C110" s="12">
        <v>9964</v>
      </c>
      <c r="D110" s="12">
        <v>1330</v>
      </c>
      <c r="E110" s="12">
        <v>184850</v>
      </c>
      <c r="F110" s="3">
        <v>57.524479307546663</v>
      </c>
      <c r="G110" s="24">
        <v>27081</v>
      </c>
      <c r="H110" s="8">
        <f t="shared" si="3"/>
        <v>4.8996685885504156</v>
      </c>
    </row>
    <row r="111" spans="1:8" ht="14.25" customHeight="1">
      <c r="A111" s="4" t="s">
        <v>30</v>
      </c>
      <c r="B111" s="3" t="s">
        <v>62</v>
      </c>
      <c r="C111" s="12">
        <v>9964</v>
      </c>
      <c r="D111" s="12">
        <v>834</v>
      </c>
      <c r="E111" s="12">
        <v>163790</v>
      </c>
      <c r="F111" s="3">
        <v>54.158984064961238</v>
      </c>
      <c r="G111" s="24">
        <v>27081</v>
      </c>
      <c r="H111" s="8">
        <f t="shared" si="3"/>
        <v>5.9032716927453777</v>
      </c>
    </row>
    <row r="112" spans="1:8" ht="14.25" customHeight="1">
      <c r="A112" s="4" t="s">
        <v>333</v>
      </c>
      <c r="B112" s="3" t="s">
        <v>62</v>
      </c>
      <c r="C112" s="12">
        <v>9964</v>
      </c>
      <c r="D112" s="12">
        <v>543</v>
      </c>
      <c r="E112" s="12">
        <v>150265</v>
      </c>
      <c r="F112" s="3">
        <v>49.159817655475329</v>
      </c>
      <c r="G112" s="24">
        <v>27081</v>
      </c>
      <c r="H112" s="8">
        <f t="shared" si="3"/>
        <v>6.6889608361023551</v>
      </c>
    </row>
    <row r="113" spans="1:8" ht="14.25" customHeight="1">
      <c r="A113" s="4" t="s">
        <v>523</v>
      </c>
      <c r="B113" s="3" t="s">
        <v>62</v>
      </c>
      <c r="C113" s="12">
        <v>9964</v>
      </c>
      <c r="D113" s="12">
        <v>894</v>
      </c>
      <c r="E113" s="12">
        <v>231802</v>
      </c>
      <c r="F113" s="3">
        <v>47.634187798207087</v>
      </c>
      <c r="G113" s="24">
        <v>27081</v>
      </c>
      <c r="H113" s="8">
        <f t="shared" si="3"/>
        <v>4.0721584684733223</v>
      </c>
    </row>
    <row r="114" spans="1:8" ht="14.25" customHeight="1">
      <c r="A114" s="4" t="s">
        <v>522</v>
      </c>
      <c r="B114" s="3" t="s">
        <v>62</v>
      </c>
      <c r="C114" s="12">
        <v>9964</v>
      </c>
      <c r="D114" s="12">
        <v>446</v>
      </c>
      <c r="E114" s="12">
        <v>272227</v>
      </c>
      <c r="F114" s="3">
        <v>41.82171496581897</v>
      </c>
      <c r="G114" s="24">
        <v>27081</v>
      </c>
      <c r="H114" s="8">
        <f t="shared" si="3"/>
        <v>3.6230201477680626</v>
      </c>
    </row>
    <row r="115" spans="1:8" ht="14.25" customHeight="1">
      <c r="A115" s="4" t="s">
        <v>98</v>
      </c>
      <c r="B115" s="3" t="s">
        <v>62</v>
      </c>
      <c r="C115" s="12">
        <v>9964</v>
      </c>
      <c r="D115" s="12">
        <v>422</v>
      </c>
      <c r="E115" s="12">
        <v>377618</v>
      </c>
      <c r="F115" s="3">
        <v>37.86101298137271</v>
      </c>
      <c r="G115" s="24">
        <v>27081</v>
      </c>
      <c r="H115" s="8">
        <f t="shared" si="3"/>
        <v>2.5923993957769591</v>
      </c>
    </row>
    <row r="116" spans="1:8" ht="14.25" customHeight="1">
      <c r="A116" s="4" t="s">
        <v>512</v>
      </c>
      <c r="B116" s="3" t="s">
        <v>62</v>
      </c>
      <c r="C116" s="12">
        <v>9964</v>
      </c>
      <c r="D116" s="12">
        <v>575</v>
      </c>
      <c r="E116" s="12">
        <v>460228</v>
      </c>
      <c r="F116" s="3">
        <v>29.45844233727631</v>
      </c>
      <c r="G116" s="24">
        <v>27081</v>
      </c>
      <c r="H116" s="8">
        <f t="shared" si="3"/>
        <v>2.0825616239943749</v>
      </c>
    </row>
    <row r="117" spans="1:8" ht="14.25" customHeight="1">
      <c r="A117" s="4" t="s">
        <v>527</v>
      </c>
      <c r="B117" s="3" t="s">
        <v>62</v>
      </c>
      <c r="C117" s="12">
        <v>9964</v>
      </c>
      <c r="D117" s="12">
        <v>282</v>
      </c>
      <c r="E117" s="12">
        <v>525863</v>
      </c>
      <c r="F117" s="3">
        <v>27.040693108281051</v>
      </c>
      <c r="G117" s="24">
        <v>27081</v>
      </c>
      <c r="H117" s="8">
        <f t="shared" si="3"/>
        <v>1.8756986405931253</v>
      </c>
    </row>
    <row r="118" spans="1:8" ht="14.25" customHeight="1">
      <c r="A118" s="4" t="s">
        <v>21</v>
      </c>
      <c r="B118" s="3" t="s">
        <v>62</v>
      </c>
      <c r="C118" s="12">
        <v>9964</v>
      </c>
      <c r="D118" s="12">
        <v>1149</v>
      </c>
      <c r="E118" s="12">
        <v>347090</v>
      </c>
      <c r="F118" s="3">
        <v>26.003918292085629</v>
      </c>
      <c r="G118" s="24">
        <v>27081</v>
      </c>
      <c r="H118" s="8">
        <f t="shared" si="3"/>
        <v>2.6058680067992017</v>
      </c>
    </row>
    <row r="119" spans="1:8" ht="14.25" customHeight="1">
      <c r="A119" s="4" t="s">
        <v>181</v>
      </c>
      <c r="B119" s="3" t="s">
        <v>62</v>
      </c>
      <c r="C119" s="12">
        <v>9964</v>
      </c>
      <c r="D119" s="12">
        <v>813</v>
      </c>
      <c r="E119" s="12">
        <v>405141</v>
      </c>
      <c r="F119" s="3">
        <v>24.457411123534769</v>
      </c>
      <c r="G119" s="24">
        <v>27081</v>
      </c>
      <c r="H119" s="8">
        <f t="shared" si="3"/>
        <v>2.310916942347029</v>
      </c>
    </row>
    <row r="120" spans="1:8" ht="14.25" customHeight="1">
      <c r="A120" s="4" t="s">
        <v>513</v>
      </c>
      <c r="B120" s="3" t="s">
        <v>62</v>
      </c>
      <c r="C120" s="12">
        <v>9964</v>
      </c>
      <c r="D120" s="12">
        <v>995</v>
      </c>
      <c r="E120" s="12">
        <v>486018</v>
      </c>
      <c r="F120" s="3">
        <v>23.761877132122681</v>
      </c>
      <c r="G120" s="24">
        <v>27081</v>
      </c>
      <c r="H120" s="8">
        <f t="shared" si="3"/>
        <v>1.8801003670482486</v>
      </c>
    </row>
    <row r="121" spans="1:8" ht="14.25" customHeight="1">
      <c r="A121" s="4" t="s">
        <v>525</v>
      </c>
      <c r="B121" s="3" t="s">
        <v>62</v>
      </c>
      <c r="C121" s="12">
        <v>9964</v>
      </c>
      <c r="D121" s="12">
        <v>146</v>
      </c>
      <c r="E121" s="12">
        <v>607188</v>
      </c>
      <c r="F121" s="3">
        <v>21.77776899411715</v>
      </c>
      <c r="G121" s="24">
        <v>27081</v>
      </c>
      <c r="H121" s="8">
        <f t="shared" si="3"/>
        <v>1.643537506068266</v>
      </c>
    </row>
    <row r="122" spans="1:8" ht="14.25" customHeight="1">
      <c r="A122" s="4" t="s">
        <v>69</v>
      </c>
      <c r="B122" s="3" t="s">
        <v>62</v>
      </c>
      <c r="C122" s="12">
        <v>9964</v>
      </c>
      <c r="D122" s="12">
        <v>222</v>
      </c>
      <c r="E122" s="12">
        <v>313014</v>
      </c>
      <c r="F122" s="3">
        <v>21.669318305251519</v>
      </c>
      <c r="G122" s="24">
        <v>27081</v>
      </c>
      <c r="H122" s="8">
        <f t="shared" si="3"/>
        <v>3.2122978712179164</v>
      </c>
    </row>
    <row r="123" spans="1:8" ht="14.25" customHeight="1">
      <c r="A123" s="4" t="s">
        <v>259</v>
      </c>
      <c r="B123" s="3" t="s">
        <v>62</v>
      </c>
      <c r="C123" s="12">
        <v>9964</v>
      </c>
      <c r="D123" s="12">
        <v>1045</v>
      </c>
      <c r="E123" s="12">
        <v>253858</v>
      </c>
      <c r="F123" s="3">
        <v>20.47246886054408</v>
      </c>
      <c r="G123" s="24">
        <v>27081</v>
      </c>
      <c r="H123" s="8">
        <f t="shared" si="3"/>
        <v>3.6413147763320666</v>
      </c>
    </row>
    <row r="124" spans="1:8" ht="14.25" customHeight="1">
      <c r="A124" s="4" t="s">
        <v>333</v>
      </c>
      <c r="B124" s="3" t="s">
        <v>62</v>
      </c>
      <c r="C124" s="12">
        <v>9964</v>
      </c>
      <c r="D124" s="12">
        <v>291</v>
      </c>
      <c r="E124" s="12">
        <v>146830</v>
      </c>
      <c r="F124" s="3">
        <v>19.551862698358651</v>
      </c>
      <c r="G124" s="24">
        <v>27081</v>
      </c>
      <c r="H124" s="8">
        <f t="shared" si="3"/>
        <v>7.0525018774105597</v>
      </c>
    </row>
    <row r="125" spans="1:8" ht="14.25" customHeight="1">
      <c r="A125" s="4" t="s">
        <v>235</v>
      </c>
      <c r="B125" s="3" t="s">
        <v>62</v>
      </c>
      <c r="C125" s="12">
        <v>9964</v>
      </c>
      <c r="D125" s="12">
        <v>1162</v>
      </c>
      <c r="E125" s="12">
        <v>596704</v>
      </c>
      <c r="F125" s="3">
        <v>18.05853488496809</v>
      </c>
      <c r="G125" s="24">
        <v>27081</v>
      </c>
      <c r="H125" s="8">
        <f t="shared" si="3"/>
        <v>1.4971883068946865</v>
      </c>
    </row>
    <row r="126" spans="1:8" ht="14.25" customHeight="1">
      <c r="A126" s="4" t="s">
        <v>256</v>
      </c>
      <c r="B126" s="3" t="s">
        <v>62</v>
      </c>
      <c r="C126" s="12">
        <v>9964</v>
      </c>
      <c r="D126" s="12">
        <v>512</v>
      </c>
      <c r="E126" s="12">
        <v>865266</v>
      </c>
      <c r="F126" s="3">
        <v>15.7972230504839</v>
      </c>
      <c r="G126" s="24">
        <v>27081</v>
      </c>
      <c r="H126" s="8">
        <f t="shared" si="3"/>
        <v>1.1044455921496961</v>
      </c>
    </row>
    <row r="127" spans="1:8" ht="14.25" customHeight="1">
      <c r="A127" s="4" t="s">
        <v>235</v>
      </c>
      <c r="B127" s="3" t="s">
        <v>62</v>
      </c>
      <c r="C127" s="12">
        <v>9964</v>
      </c>
      <c r="D127" s="12">
        <v>202</v>
      </c>
      <c r="E127" s="12">
        <v>606171</v>
      </c>
      <c r="F127" s="3">
        <v>15.150015424690389</v>
      </c>
      <c r="G127" s="24">
        <v>27081</v>
      </c>
      <c r="H127" s="8">
        <f t="shared" si="3"/>
        <v>1.6367962254090735</v>
      </c>
    </row>
    <row r="128" spans="1:8" ht="14.25" customHeight="1">
      <c r="A128" s="4" t="s">
        <v>21</v>
      </c>
      <c r="B128" s="3" t="s">
        <v>62</v>
      </c>
      <c r="C128" s="12">
        <v>9964</v>
      </c>
      <c r="D128" s="12">
        <v>384</v>
      </c>
      <c r="E128" s="12">
        <v>326199</v>
      </c>
      <c r="F128" s="3">
        <v>14.71218489327067</v>
      </c>
      <c r="G128" s="24">
        <v>27081</v>
      </c>
      <c r="H128" s="8">
        <f t="shared" si="3"/>
        <v>3.0257186081694405</v>
      </c>
    </row>
    <row r="129" spans="1:8" ht="14.25" customHeight="1">
      <c r="A129" s="4" t="s">
        <v>515</v>
      </c>
      <c r="B129" s="3" t="s">
        <v>62</v>
      </c>
      <c r="C129" s="12">
        <v>9964</v>
      </c>
      <c r="D129" s="12">
        <v>742</v>
      </c>
      <c r="E129" s="12">
        <v>817407</v>
      </c>
      <c r="F129" s="3">
        <v>14.664542877660701</v>
      </c>
      <c r="G129" s="24">
        <v>27081</v>
      </c>
      <c r="H129" s="8">
        <f t="shared" si="3"/>
        <v>1.141075372594146</v>
      </c>
    </row>
    <row r="130" spans="1:8" ht="14.25" customHeight="1">
      <c r="A130" s="4" t="s">
        <v>57</v>
      </c>
      <c r="B130" s="3" t="s">
        <v>62</v>
      </c>
      <c r="C130" s="12">
        <v>9964</v>
      </c>
      <c r="D130" s="12">
        <v>908</v>
      </c>
      <c r="E130" s="12">
        <v>306304</v>
      </c>
      <c r="F130" s="3">
        <v>14.117673944839121</v>
      </c>
      <c r="G130" s="24">
        <v>27081</v>
      </c>
      <c r="H130" s="8">
        <f t="shared" ref="H130:H161" si="4">((C130-D130)/(E130-C130+D130))*100</f>
        <v>3.0466142749488645</v>
      </c>
    </row>
    <row r="131" spans="1:8" ht="14.25" customHeight="1">
      <c r="A131" s="4" t="s">
        <v>369</v>
      </c>
      <c r="B131" s="3" t="s">
        <v>62</v>
      </c>
      <c r="C131" s="12">
        <v>9964</v>
      </c>
      <c r="D131" s="12">
        <v>522</v>
      </c>
      <c r="E131" s="12">
        <v>700757</v>
      </c>
      <c r="F131" s="3">
        <v>13.449169969047761</v>
      </c>
      <c r="G131" s="24">
        <v>27081</v>
      </c>
      <c r="H131" s="8">
        <f t="shared" si="4"/>
        <v>1.3658028539811806</v>
      </c>
    </row>
    <row r="132" spans="1:8" ht="14.25" customHeight="1">
      <c r="A132" s="4" t="s">
        <v>114</v>
      </c>
      <c r="B132" s="3" t="s">
        <v>62</v>
      </c>
      <c r="C132" s="12">
        <v>9964</v>
      </c>
      <c r="D132" s="12">
        <v>997</v>
      </c>
      <c r="E132" s="12">
        <v>729561</v>
      </c>
      <c r="F132" s="3">
        <v>13.428486445958599</v>
      </c>
      <c r="G132" s="24">
        <v>27081</v>
      </c>
      <c r="H132" s="8">
        <f t="shared" si="4"/>
        <v>1.2443900448796408</v>
      </c>
    </row>
    <row r="133" spans="1:8" ht="14.25" customHeight="1">
      <c r="A133" s="4" t="s">
        <v>528</v>
      </c>
      <c r="B133" s="3" t="s">
        <v>62</v>
      </c>
      <c r="C133" s="12">
        <v>9964</v>
      </c>
      <c r="D133" s="12">
        <v>710</v>
      </c>
      <c r="E133" s="12">
        <v>838563</v>
      </c>
      <c r="F133" s="3">
        <v>12.96217457722318</v>
      </c>
      <c r="G133" s="24">
        <v>27081</v>
      </c>
      <c r="H133" s="8">
        <f t="shared" si="4"/>
        <v>1.1158687533838414</v>
      </c>
    </row>
    <row r="134" spans="1:8" ht="14.25" customHeight="1">
      <c r="A134" s="4" t="s">
        <v>185</v>
      </c>
      <c r="B134" s="3" t="s">
        <v>62</v>
      </c>
      <c r="C134" s="12">
        <v>9964</v>
      </c>
      <c r="D134" s="12">
        <v>783</v>
      </c>
      <c r="E134" s="12">
        <v>789536</v>
      </c>
      <c r="F134" s="3">
        <v>12.407287318121019</v>
      </c>
      <c r="G134" s="24">
        <v>27081</v>
      </c>
      <c r="H134" s="8">
        <f t="shared" si="4"/>
        <v>1.1765158165194045</v>
      </c>
    </row>
    <row r="135" spans="1:8" ht="14.25" customHeight="1">
      <c r="A135" s="4" t="s">
        <v>203</v>
      </c>
      <c r="B135" s="3" t="s">
        <v>62</v>
      </c>
      <c r="C135" s="12">
        <v>9964</v>
      </c>
      <c r="D135" s="12">
        <v>476</v>
      </c>
      <c r="E135" s="12">
        <v>1146426</v>
      </c>
      <c r="F135" s="3">
        <v>11.940413075069831</v>
      </c>
      <c r="G135" s="24">
        <v>27081</v>
      </c>
      <c r="H135" s="8">
        <f t="shared" si="4"/>
        <v>0.83452219909968717</v>
      </c>
    </row>
    <row r="136" spans="1:8" ht="14.25" customHeight="1">
      <c r="A136" s="4" t="s">
        <v>86</v>
      </c>
      <c r="B136" s="3" t="s">
        <v>62</v>
      </c>
      <c r="C136" s="12">
        <v>9964</v>
      </c>
      <c r="D136" s="12">
        <v>75</v>
      </c>
      <c r="E136" s="12">
        <v>912374</v>
      </c>
      <c r="F136" s="3">
        <v>9.2688963078737441</v>
      </c>
      <c r="G136" s="24">
        <v>27081</v>
      </c>
      <c r="H136" s="8">
        <f t="shared" si="4"/>
        <v>1.0957522839714788</v>
      </c>
    </row>
    <row r="137" spans="1:8" ht="14.25" customHeight="1">
      <c r="A137" s="4" t="s">
        <v>525</v>
      </c>
      <c r="B137" s="3" t="s">
        <v>62</v>
      </c>
      <c r="C137" s="12">
        <v>9964</v>
      </c>
      <c r="D137" s="12">
        <v>1024</v>
      </c>
      <c r="E137" s="12">
        <v>615820</v>
      </c>
      <c r="F137" s="3">
        <v>8.7252768666168681</v>
      </c>
      <c r="G137" s="24">
        <v>27081</v>
      </c>
      <c r="H137" s="8">
        <f t="shared" si="4"/>
        <v>1.4731083575006592</v>
      </c>
    </row>
    <row r="138" spans="1:8" ht="14.25" customHeight="1">
      <c r="A138" s="4" t="s">
        <v>513</v>
      </c>
      <c r="B138" s="3" t="s">
        <v>62</v>
      </c>
      <c r="C138" s="12">
        <v>9964</v>
      </c>
      <c r="D138" s="12">
        <v>212</v>
      </c>
      <c r="E138" s="12">
        <v>490393</v>
      </c>
      <c r="F138" s="3">
        <v>8.5343795690395261</v>
      </c>
      <c r="G138" s="24">
        <v>27081</v>
      </c>
      <c r="H138" s="8">
        <f t="shared" si="4"/>
        <v>2.0289571634546366</v>
      </c>
    </row>
    <row r="139" spans="1:8" ht="14.25" customHeight="1">
      <c r="A139" s="4" t="s">
        <v>185</v>
      </c>
      <c r="B139" s="3" t="s">
        <v>62</v>
      </c>
      <c r="C139" s="12">
        <v>9964</v>
      </c>
      <c r="D139" s="12">
        <v>241</v>
      </c>
      <c r="E139" s="12">
        <v>799671</v>
      </c>
      <c r="F139" s="3">
        <v>8.1379717408784362</v>
      </c>
      <c r="G139" s="24">
        <v>27081</v>
      </c>
      <c r="H139" s="8">
        <f t="shared" si="4"/>
        <v>1.2308405110209786</v>
      </c>
    </row>
    <row r="140" spans="1:8" ht="14.25" customHeight="1">
      <c r="A140" s="4" t="s">
        <v>518</v>
      </c>
      <c r="B140" s="3" t="s">
        <v>62</v>
      </c>
      <c r="C140" s="12">
        <v>9964</v>
      </c>
      <c r="D140" s="12">
        <v>1070</v>
      </c>
      <c r="E140" s="12">
        <v>1131337</v>
      </c>
      <c r="F140" s="3">
        <v>8.1114645768679008</v>
      </c>
      <c r="G140" s="24">
        <v>27081</v>
      </c>
      <c r="H140" s="8">
        <f t="shared" si="4"/>
        <v>0.79237876667233886</v>
      </c>
    </row>
    <row r="141" spans="1:8" ht="14.25" customHeight="1">
      <c r="A141" s="4" t="s">
        <v>345</v>
      </c>
      <c r="B141" s="3" t="s">
        <v>62</v>
      </c>
      <c r="C141" s="12">
        <v>9964</v>
      </c>
      <c r="D141" s="12">
        <v>966</v>
      </c>
      <c r="E141" s="12">
        <v>218723</v>
      </c>
      <c r="F141" s="3">
        <v>7.6914636320825887</v>
      </c>
      <c r="G141" s="24">
        <v>27081</v>
      </c>
      <c r="H141" s="8">
        <f t="shared" si="4"/>
        <v>4.2903802598641079</v>
      </c>
    </row>
    <row r="142" spans="1:8" ht="14.25" customHeight="1">
      <c r="A142" s="4" t="s">
        <v>529</v>
      </c>
      <c r="B142" s="3" t="s">
        <v>62</v>
      </c>
      <c r="C142" s="12">
        <v>9964</v>
      </c>
      <c r="D142" s="12">
        <v>692</v>
      </c>
      <c r="E142" s="12">
        <v>897442</v>
      </c>
      <c r="F142" s="3">
        <v>7.6673478620345374</v>
      </c>
      <c r="G142" s="24">
        <v>27081</v>
      </c>
      <c r="H142" s="8">
        <f t="shared" si="4"/>
        <v>1.0439442899444926</v>
      </c>
    </row>
    <row r="143" spans="1:8" ht="14.25" customHeight="1">
      <c r="A143" s="4" t="s">
        <v>528</v>
      </c>
      <c r="B143" s="3" t="s">
        <v>62</v>
      </c>
      <c r="C143" s="12">
        <v>9964</v>
      </c>
      <c r="D143" s="12">
        <v>678</v>
      </c>
      <c r="E143" s="12">
        <v>834347</v>
      </c>
      <c r="F143" s="3">
        <v>7.6464588474579518</v>
      </c>
      <c r="G143" s="24">
        <v>27081</v>
      </c>
      <c r="H143" s="8">
        <f t="shared" si="4"/>
        <v>1.1254925393395157</v>
      </c>
    </row>
    <row r="144" spans="1:8" ht="14.25" customHeight="1">
      <c r="A144" s="4" t="s">
        <v>528</v>
      </c>
      <c r="B144" s="3" t="s">
        <v>62</v>
      </c>
      <c r="C144" s="12">
        <v>9964</v>
      </c>
      <c r="D144" s="12">
        <v>562</v>
      </c>
      <c r="E144" s="12">
        <v>826926</v>
      </c>
      <c r="F144" s="3">
        <v>7.1083748727213809</v>
      </c>
      <c r="G144" s="24">
        <v>27081</v>
      </c>
      <c r="H144" s="8">
        <f t="shared" si="4"/>
        <v>1.1500579799492125</v>
      </c>
    </row>
    <row r="145" spans="1:8" ht="14.25" customHeight="1">
      <c r="A145" s="4" t="s">
        <v>256</v>
      </c>
      <c r="B145" s="3" t="s">
        <v>62</v>
      </c>
      <c r="C145" s="12">
        <v>9964</v>
      </c>
      <c r="D145" s="12">
        <v>869</v>
      </c>
      <c r="E145" s="12">
        <v>859838</v>
      </c>
      <c r="F145" s="3">
        <v>7.0117859410726204</v>
      </c>
      <c r="G145" s="24">
        <v>27081</v>
      </c>
      <c r="H145" s="8">
        <f t="shared" si="4"/>
        <v>1.0690655109709983</v>
      </c>
    </row>
    <row r="146" spans="1:8" ht="14.25" customHeight="1">
      <c r="A146" s="4" t="s">
        <v>527</v>
      </c>
      <c r="B146" s="3" t="s">
        <v>62</v>
      </c>
      <c r="C146" s="12">
        <v>9964</v>
      </c>
      <c r="D146" s="12">
        <v>359</v>
      </c>
      <c r="E146" s="12">
        <v>531341</v>
      </c>
      <c r="F146" s="3">
        <v>6.8073045370110723</v>
      </c>
      <c r="G146" s="24">
        <v>27081</v>
      </c>
      <c r="H146" s="8">
        <f t="shared" si="4"/>
        <v>1.8409693791496082</v>
      </c>
    </row>
    <row r="147" spans="1:8" ht="14.25" customHeight="1">
      <c r="A147" s="4" t="s">
        <v>203</v>
      </c>
      <c r="B147" s="3" t="s">
        <v>62</v>
      </c>
      <c r="C147" s="12">
        <v>9964</v>
      </c>
      <c r="D147" s="12">
        <v>885</v>
      </c>
      <c r="E147" s="12">
        <v>1151882</v>
      </c>
      <c r="F147" s="3">
        <v>6.3457020771224837</v>
      </c>
      <c r="G147" s="24">
        <v>27081</v>
      </c>
      <c r="H147" s="8">
        <f t="shared" si="4"/>
        <v>0.79445013707524392</v>
      </c>
    </row>
    <row r="148" spans="1:8" ht="14.25" customHeight="1">
      <c r="A148" s="4" t="s">
        <v>203</v>
      </c>
      <c r="B148" s="3" t="s">
        <v>62</v>
      </c>
      <c r="C148" s="12">
        <v>9964</v>
      </c>
      <c r="D148" s="12">
        <v>234</v>
      </c>
      <c r="E148" s="12">
        <v>1138871</v>
      </c>
      <c r="F148" s="3">
        <v>5.6959041015180816</v>
      </c>
      <c r="G148" s="24">
        <v>27081</v>
      </c>
      <c r="H148" s="8">
        <f t="shared" si="4"/>
        <v>0.86171700434223897</v>
      </c>
    </row>
    <row r="149" spans="1:8" ht="14.25" customHeight="1">
      <c r="A149" s="4" t="s">
        <v>111</v>
      </c>
      <c r="B149" s="3" t="s">
        <v>62</v>
      </c>
      <c r="C149" s="12">
        <v>9964</v>
      </c>
      <c r="D149" s="12">
        <v>1395</v>
      </c>
      <c r="E149" s="12">
        <v>1085943</v>
      </c>
      <c r="F149" s="3">
        <v>5.2243073531483697</v>
      </c>
      <c r="G149" s="24">
        <v>27081</v>
      </c>
      <c r="H149" s="8">
        <f t="shared" si="4"/>
        <v>0.7953598286203305</v>
      </c>
    </row>
    <row r="150" spans="1:8" ht="14.25" customHeight="1">
      <c r="A150" s="4" t="s">
        <v>520</v>
      </c>
      <c r="B150" s="3" t="s">
        <v>62</v>
      </c>
      <c r="C150" s="12">
        <v>9964</v>
      </c>
      <c r="D150" s="12">
        <v>706</v>
      </c>
      <c r="E150" s="12">
        <v>1057293</v>
      </c>
      <c r="F150" s="3">
        <v>5.057443868445171</v>
      </c>
      <c r="G150" s="24">
        <v>27081</v>
      </c>
      <c r="H150" s="8">
        <f t="shared" si="4"/>
        <v>0.88336744478953477</v>
      </c>
    </row>
    <row r="151" spans="1:8" ht="14.25" customHeight="1">
      <c r="A151" s="4" t="s">
        <v>514</v>
      </c>
      <c r="B151" s="3" t="s">
        <v>62</v>
      </c>
      <c r="C151" s="12">
        <v>9964</v>
      </c>
      <c r="D151" s="12">
        <v>200</v>
      </c>
      <c r="E151" s="12">
        <v>772614</v>
      </c>
      <c r="F151" s="3">
        <v>5.0212654702089274</v>
      </c>
      <c r="G151" s="24">
        <v>27081</v>
      </c>
      <c r="H151" s="8">
        <f t="shared" si="4"/>
        <v>1.2799370780625288</v>
      </c>
    </row>
    <row r="152" spans="1:8" ht="14.25" customHeight="1">
      <c r="A152" s="4" t="s">
        <v>529</v>
      </c>
      <c r="B152" s="3" t="s">
        <v>62</v>
      </c>
      <c r="C152" s="12">
        <v>9964</v>
      </c>
      <c r="D152" s="12">
        <v>660</v>
      </c>
      <c r="E152" s="12">
        <v>880842</v>
      </c>
      <c r="F152" s="3">
        <v>3.7175793161543158</v>
      </c>
      <c r="G152" s="24">
        <v>27081</v>
      </c>
      <c r="H152" s="8">
        <f t="shared" si="4"/>
        <v>1.0675380763661482</v>
      </c>
    </row>
    <row r="153" spans="1:8" ht="14.25" customHeight="1">
      <c r="A153" s="4" t="s">
        <v>499</v>
      </c>
      <c r="B153" s="3" t="s">
        <v>62</v>
      </c>
      <c r="C153" s="12">
        <v>9964</v>
      </c>
      <c r="D153" s="12">
        <v>652</v>
      </c>
      <c r="E153" s="12">
        <v>637512</v>
      </c>
      <c r="F153" s="3">
        <v>3.5705994553828009</v>
      </c>
      <c r="G153" s="24">
        <v>27081</v>
      </c>
      <c r="H153" s="8">
        <f t="shared" si="4"/>
        <v>1.4823304680038205</v>
      </c>
    </row>
    <row r="154" spans="1:8" ht="14.25" customHeight="1">
      <c r="A154" s="4" t="s">
        <v>526</v>
      </c>
      <c r="B154" s="3" t="s">
        <v>62</v>
      </c>
      <c r="C154" s="12">
        <v>9964</v>
      </c>
      <c r="D154" s="12">
        <v>367</v>
      </c>
      <c r="E154" s="12">
        <v>453977</v>
      </c>
      <c r="F154" s="3">
        <v>3.5037017293827661</v>
      </c>
      <c r="G154" s="24">
        <v>27081</v>
      </c>
      <c r="H154" s="8">
        <f t="shared" si="4"/>
        <v>2.1596381475313922</v>
      </c>
    </row>
    <row r="155" spans="1:8" ht="14.25" customHeight="1">
      <c r="A155" s="4" t="s">
        <v>231</v>
      </c>
      <c r="B155" s="3" t="s">
        <v>62</v>
      </c>
      <c r="C155" s="12">
        <v>9964</v>
      </c>
      <c r="D155" s="12">
        <v>165</v>
      </c>
      <c r="E155" s="12">
        <v>975533</v>
      </c>
      <c r="F155" s="3">
        <v>2.9062061457685191</v>
      </c>
      <c r="G155" s="24">
        <v>27081</v>
      </c>
      <c r="H155" s="8">
        <f t="shared" si="4"/>
        <v>1.0146686354627672</v>
      </c>
    </row>
    <row r="156" spans="1:8" ht="14.25" customHeight="1">
      <c r="A156" s="4" t="s">
        <v>231</v>
      </c>
      <c r="B156" s="3" t="s">
        <v>62</v>
      </c>
      <c r="C156" s="12">
        <v>9964</v>
      </c>
      <c r="D156" s="12">
        <v>594</v>
      </c>
      <c r="E156" s="12">
        <v>979778</v>
      </c>
      <c r="F156" s="3">
        <v>2.5803804535313102</v>
      </c>
      <c r="G156" s="24">
        <v>27081</v>
      </c>
      <c r="H156" s="8">
        <f t="shared" si="4"/>
        <v>0.96557324341926287</v>
      </c>
    </row>
    <row r="157" spans="1:8" ht="14.25" customHeight="1">
      <c r="A157" s="4" t="s">
        <v>527</v>
      </c>
      <c r="B157" s="3" t="s">
        <v>62</v>
      </c>
      <c r="C157" s="12">
        <v>9964</v>
      </c>
      <c r="D157" s="12">
        <v>1131</v>
      </c>
      <c r="E157" s="12">
        <v>515737</v>
      </c>
      <c r="F157" s="3">
        <v>2.1877429775253669</v>
      </c>
      <c r="G157" s="24">
        <v>27081</v>
      </c>
      <c r="H157" s="8">
        <f t="shared" si="4"/>
        <v>1.7425390211953349</v>
      </c>
    </row>
    <row r="158" spans="1:8" ht="14.25" customHeight="1">
      <c r="A158" s="4" t="s">
        <v>318</v>
      </c>
      <c r="B158" s="3" t="s">
        <v>62</v>
      </c>
      <c r="C158" s="12">
        <v>9964</v>
      </c>
      <c r="D158" s="12">
        <v>1091</v>
      </c>
      <c r="E158" s="12">
        <v>1186398</v>
      </c>
      <c r="F158" s="3">
        <v>1.676081719625286</v>
      </c>
      <c r="G158" s="24">
        <v>27081</v>
      </c>
      <c r="H158" s="8">
        <f t="shared" si="4"/>
        <v>0.75352964905203712</v>
      </c>
    </row>
    <row r="159" spans="1:8" ht="14.25" customHeight="1">
      <c r="A159" s="4" t="s">
        <v>521</v>
      </c>
      <c r="B159" s="3" t="s">
        <v>62</v>
      </c>
      <c r="C159" s="12">
        <v>9964</v>
      </c>
      <c r="D159" s="12">
        <v>828</v>
      </c>
      <c r="E159" s="12">
        <v>988501</v>
      </c>
      <c r="F159" s="3">
        <v>1.525036393488727</v>
      </c>
      <c r="G159" s="24">
        <v>27081</v>
      </c>
      <c r="H159" s="8">
        <f t="shared" si="4"/>
        <v>0.93284934626007665</v>
      </c>
    </row>
    <row r="160" spans="1:8" ht="14.25" customHeight="1">
      <c r="A160" s="4" t="s">
        <v>245</v>
      </c>
      <c r="B160" s="3" t="s">
        <v>62</v>
      </c>
      <c r="C160" s="12">
        <v>9964</v>
      </c>
      <c r="D160" s="12">
        <v>127</v>
      </c>
      <c r="E160" s="12">
        <v>904407</v>
      </c>
      <c r="F160" s="3">
        <v>1.3997016829812241</v>
      </c>
      <c r="G160" s="24">
        <v>27081</v>
      </c>
      <c r="H160" s="8">
        <f t="shared" si="4"/>
        <v>1.099634461249539</v>
      </c>
    </row>
    <row r="161" spans="1:8" ht="14.25" customHeight="1">
      <c r="A161" s="18">
        <v>45446</v>
      </c>
      <c r="B161" s="3" t="s">
        <v>20</v>
      </c>
      <c r="C161" s="12">
        <v>9964</v>
      </c>
      <c r="D161" s="12">
        <v>1141</v>
      </c>
      <c r="E161" s="12">
        <v>119332</v>
      </c>
      <c r="F161" s="3">
        <v>92.312204605638044</v>
      </c>
      <c r="G161" s="24">
        <v>27081</v>
      </c>
      <c r="H161" s="8">
        <f t="shared" si="4"/>
        <v>7.9839651069143684</v>
      </c>
    </row>
    <row r="162" spans="1:8" ht="14.25" customHeight="1">
      <c r="A162" s="18">
        <v>45447</v>
      </c>
      <c r="B162" s="3" t="s">
        <v>20</v>
      </c>
      <c r="C162" s="12">
        <v>9964</v>
      </c>
      <c r="D162" s="12">
        <v>524</v>
      </c>
      <c r="E162" s="12">
        <v>141896</v>
      </c>
      <c r="F162" s="3">
        <v>52.064892597395271</v>
      </c>
      <c r="G162" s="24">
        <v>27081</v>
      </c>
      <c r="H162" s="8">
        <f t="shared" ref="H162:H193" si="5">((C162-D162)/(E162-C162+D162))*100</f>
        <v>7.1268949688953311</v>
      </c>
    </row>
    <row r="163" spans="1:8" ht="14.25" customHeight="1">
      <c r="A163" s="18">
        <v>45448</v>
      </c>
      <c r="B163" s="3" t="s">
        <v>20</v>
      </c>
      <c r="C163" s="12">
        <v>9964</v>
      </c>
      <c r="D163" s="12">
        <v>652</v>
      </c>
      <c r="E163" s="12">
        <v>289283</v>
      </c>
      <c r="F163" s="3">
        <v>49.647922622483861</v>
      </c>
      <c r="G163" s="24">
        <v>27081</v>
      </c>
      <c r="H163" s="8">
        <f t="shared" si="5"/>
        <v>3.3260587703726459</v>
      </c>
    </row>
    <row r="164" spans="1:8" ht="14.25" customHeight="1">
      <c r="A164" s="18">
        <v>45449</v>
      </c>
      <c r="B164" s="3" t="s">
        <v>20</v>
      </c>
      <c r="C164" s="12">
        <v>9964</v>
      </c>
      <c r="D164" s="12">
        <v>341</v>
      </c>
      <c r="E164" s="12">
        <v>315557</v>
      </c>
      <c r="F164" s="3">
        <v>46.999749649033298</v>
      </c>
      <c r="G164" s="24">
        <v>27081</v>
      </c>
      <c r="H164" s="8">
        <f t="shared" si="5"/>
        <v>3.1454496721515097</v>
      </c>
    </row>
    <row r="165" spans="1:8" ht="14.25" customHeight="1">
      <c r="A165" s="18">
        <v>45450</v>
      </c>
      <c r="B165" s="3" t="s">
        <v>20</v>
      </c>
      <c r="C165" s="12">
        <v>9964</v>
      </c>
      <c r="D165" s="12">
        <v>591</v>
      </c>
      <c r="E165" s="12">
        <v>300265</v>
      </c>
      <c r="F165" s="3">
        <v>44.219272975538267</v>
      </c>
      <c r="G165" s="24">
        <v>27081</v>
      </c>
      <c r="H165" s="8">
        <f t="shared" si="5"/>
        <v>3.2221580517855424</v>
      </c>
    </row>
    <row r="166" spans="1:8" ht="14.25" customHeight="1">
      <c r="A166" s="18">
        <v>45451</v>
      </c>
      <c r="B166" s="3" t="s">
        <v>20</v>
      </c>
      <c r="C166" s="12">
        <v>9964</v>
      </c>
      <c r="D166" s="12">
        <v>775</v>
      </c>
      <c r="E166" s="12">
        <v>391152</v>
      </c>
      <c r="F166" s="3">
        <v>37.760512537325639</v>
      </c>
      <c r="G166" s="24">
        <v>27081</v>
      </c>
      <c r="H166" s="8">
        <f t="shared" si="5"/>
        <v>2.4057303979704838</v>
      </c>
    </row>
    <row r="167" spans="1:8" ht="14.25" customHeight="1">
      <c r="A167" s="18">
        <v>45452</v>
      </c>
      <c r="B167" s="3" t="s">
        <v>20</v>
      </c>
      <c r="C167" s="12">
        <v>9964</v>
      </c>
      <c r="D167" s="12">
        <v>319</v>
      </c>
      <c r="E167" s="12">
        <v>450052</v>
      </c>
      <c r="F167" s="3">
        <v>29.92120910472568</v>
      </c>
      <c r="G167" s="24">
        <v>27081</v>
      </c>
      <c r="H167" s="8">
        <f t="shared" si="5"/>
        <v>2.1900196863355941</v>
      </c>
    </row>
    <row r="168" spans="1:8" ht="14.25" customHeight="1">
      <c r="A168" s="18">
        <v>45453</v>
      </c>
      <c r="B168" s="3" t="s">
        <v>20</v>
      </c>
      <c r="C168" s="12">
        <v>9964</v>
      </c>
      <c r="D168" s="12">
        <v>397</v>
      </c>
      <c r="E168" s="12">
        <v>340085</v>
      </c>
      <c r="F168" s="3">
        <v>28.065042562888689</v>
      </c>
      <c r="G168" s="24">
        <v>27081</v>
      </c>
      <c r="H168" s="8">
        <f t="shared" si="5"/>
        <v>2.8945473468918488</v>
      </c>
    </row>
    <row r="169" spans="1:8" ht="14.25" customHeight="1">
      <c r="A169" s="18">
        <v>45454</v>
      </c>
      <c r="B169" s="3" t="s">
        <v>20</v>
      </c>
      <c r="C169" s="12">
        <v>9964</v>
      </c>
      <c r="D169" s="12">
        <v>569</v>
      </c>
      <c r="E169" s="12">
        <v>503162</v>
      </c>
      <c r="F169" s="3">
        <v>25.64820077827817</v>
      </c>
      <c r="G169" s="24">
        <v>27081</v>
      </c>
      <c r="H169" s="8">
        <f t="shared" si="5"/>
        <v>1.9027192987785737</v>
      </c>
    </row>
    <row r="170" spans="1:8" ht="14.25" customHeight="1">
      <c r="A170" s="18">
        <v>45455</v>
      </c>
      <c r="B170" s="3" t="s">
        <v>20</v>
      </c>
      <c r="C170" s="12">
        <v>9964</v>
      </c>
      <c r="D170" s="12">
        <v>939</v>
      </c>
      <c r="E170" s="12">
        <v>499015</v>
      </c>
      <c r="F170" s="3">
        <v>25.120888149654821</v>
      </c>
      <c r="G170" s="24">
        <v>27081</v>
      </c>
      <c r="H170" s="8">
        <f t="shared" si="5"/>
        <v>1.8418743239657951</v>
      </c>
    </row>
    <row r="171" spans="1:8" ht="14.25" customHeight="1">
      <c r="A171" s="18">
        <v>45456</v>
      </c>
      <c r="B171" s="3" t="s">
        <v>20</v>
      </c>
      <c r="C171" s="12">
        <v>9964</v>
      </c>
      <c r="D171" s="12">
        <v>494</v>
      </c>
      <c r="E171" s="12">
        <v>370352</v>
      </c>
      <c r="F171" s="3">
        <v>20.46539508359615</v>
      </c>
      <c r="G171" s="24">
        <v>27081</v>
      </c>
      <c r="H171" s="8">
        <f t="shared" si="5"/>
        <v>2.624126445763435</v>
      </c>
    </row>
    <row r="172" spans="1:8" ht="14.25" customHeight="1">
      <c r="A172" s="18">
        <v>45457</v>
      </c>
      <c r="B172" s="3" t="s">
        <v>20</v>
      </c>
      <c r="C172" s="12">
        <v>9964</v>
      </c>
      <c r="D172" s="12">
        <v>77</v>
      </c>
      <c r="E172" s="12">
        <v>818408</v>
      </c>
      <c r="F172" s="3">
        <v>18.236747441373989</v>
      </c>
      <c r="G172" s="24">
        <v>27081</v>
      </c>
      <c r="H172" s="8">
        <f t="shared" si="5"/>
        <v>1.2228501176840181</v>
      </c>
    </row>
    <row r="173" spans="1:8" ht="14.25" customHeight="1">
      <c r="A173" s="18">
        <v>45458</v>
      </c>
      <c r="B173" s="3" t="s">
        <v>20</v>
      </c>
      <c r="C173" s="12">
        <v>9964</v>
      </c>
      <c r="D173" s="12">
        <v>329</v>
      </c>
      <c r="E173" s="12">
        <v>599760</v>
      </c>
      <c r="F173" s="3">
        <v>17.61788048552755</v>
      </c>
      <c r="G173" s="24">
        <v>27081</v>
      </c>
      <c r="H173" s="8">
        <f t="shared" si="5"/>
        <v>1.6327049353950436</v>
      </c>
    </row>
    <row r="174" spans="1:8" ht="14.25" customHeight="1">
      <c r="A174" s="18">
        <v>45459</v>
      </c>
      <c r="B174" s="3" t="s">
        <v>20</v>
      </c>
      <c r="C174" s="12">
        <v>9964</v>
      </c>
      <c r="D174" s="12">
        <v>564</v>
      </c>
      <c r="E174" s="12">
        <v>694115</v>
      </c>
      <c r="F174" s="3">
        <v>16.625487131094989</v>
      </c>
      <c r="G174" s="24">
        <v>27081</v>
      </c>
      <c r="H174" s="8">
        <f t="shared" si="5"/>
        <v>1.372833952812484</v>
      </c>
    </row>
    <row r="175" spans="1:8" ht="14.25" customHeight="1">
      <c r="A175" s="18">
        <v>45460</v>
      </c>
      <c r="B175" s="3" t="s">
        <v>20</v>
      </c>
      <c r="C175" s="12">
        <v>9964</v>
      </c>
      <c r="D175" s="12">
        <v>971</v>
      </c>
      <c r="E175" s="12">
        <v>127203</v>
      </c>
      <c r="F175" s="3">
        <v>16.351815601833291</v>
      </c>
      <c r="G175" s="24">
        <v>27081</v>
      </c>
      <c r="H175" s="8">
        <f t="shared" si="5"/>
        <v>7.6076474071567546</v>
      </c>
    </row>
    <row r="176" spans="1:8" ht="14.25" customHeight="1">
      <c r="A176" s="18">
        <v>45461</v>
      </c>
      <c r="B176" s="3" t="s">
        <v>20</v>
      </c>
      <c r="C176" s="12">
        <v>9964</v>
      </c>
      <c r="D176" s="12">
        <v>1113</v>
      </c>
      <c r="E176" s="12">
        <v>953427</v>
      </c>
      <c r="F176" s="3">
        <v>15.684892498324469</v>
      </c>
      <c r="G176" s="24">
        <v>27081</v>
      </c>
      <c r="H176" s="8">
        <f t="shared" si="5"/>
        <v>0.93703418253269188</v>
      </c>
    </row>
    <row r="177" spans="1:8" ht="14.25" customHeight="1">
      <c r="A177" s="18">
        <v>45462</v>
      </c>
      <c r="B177" s="3" t="s">
        <v>20</v>
      </c>
      <c r="C177" s="12">
        <v>9964</v>
      </c>
      <c r="D177" s="12">
        <v>410</v>
      </c>
      <c r="E177" s="12">
        <v>709008</v>
      </c>
      <c r="F177" s="3">
        <v>12.913394489201821</v>
      </c>
      <c r="G177" s="24">
        <v>27081</v>
      </c>
      <c r="H177" s="8">
        <f t="shared" si="5"/>
        <v>1.3659225624558584</v>
      </c>
    </row>
    <row r="178" spans="1:8" ht="14.25" customHeight="1">
      <c r="A178" s="18">
        <v>45463</v>
      </c>
      <c r="B178" s="3" t="s">
        <v>20</v>
      </c>
      <c r="C178" s="12">
        <v>9964</v>
      </c>
      <c r="D178" s="12">
        <v>568</v>
      </c>
      <c r="E178" s="12">
        <v>568671</v>
      </c>
      <c r="F178" s="3">
        <v>11.50507059442103</v>
      </c>
      <c r="G178" s="24">
        <v>27081</v>
      </c>
      <c r="H178" s="8">
        <f t="shared" si="5"/>
        <v>1.6800321845246078</v>
      </c>
    </row>
    <row r="179" spans="1:8" ht="14.25" customHeight="1">
      <c r="A179" s="18">
        <v>45464</v>
      </c>
      <c r="B179" s="3" t="s">
        <v>20</v>
      </c>
      <c r="C179" s="12">
        <v>9964</v>
      </c>
      <c r="D179" s="12">
        <v>137</v>
      </c>
      <c r="E179" s="12">
        <v>255684</v>
      </c>
      <c r="F179" s="3">
        <v>11.2083665774941</v>
      </c>
      <c r="G179" s="24">
        <v>27081</v>
      </c>
      <c r="H179" s="8">
        <f t="shared" si="5"/>
        <v>3.9970389291336019</v>
      </c>
    </row>
    <row r="180" spans="1:8" ht="14.25" customHeight="1">
      <c r="A180" s="18">
        <v>45465</v>
      </c>
      <c r="B180" s="3" t="s">
        <v>20</v>
      </c>
      <c r="C180" s="12">
        <v>9964</v>
      </c>
      <c r="D180" s="12">
        <v>704</v>
      </c>
      <c r="E180" s="12">
        <v>445769</v>
      </c>
      <c r="F180" s="3">
        <v>11.194362999670229</v>
      </c>
      <c r="G180" s="24">
        <v>27081</v>
      </c>
      <c r="H180" s="8">
        <f t="shared" si="5"/>
        <v>2.1213766497368898</v>
      </c>
    </row>
    <row r="181" spans="1:8" ht="14.25" customHeight="1">
      <c r="A181" s="18">
        <v>45466</v>
      </c>
      <c r="B181" s="3" t="s">
        <v>20</v>
      </c>
      <c r="C181" s="12">
        <v>9964</v>
      </c>
      <c r="D181" s="12">
        <v>849</v>
      </c>
      <c r="E181" s="12">
        <v>748744</v>
      </c>
      <c r="F181" s="3">
        <v>10.34986590877523</v>
      </c>
      <c r="G181" s="24">
        <v>27081</v>
      </c>
      <c r="H181" s="8">
        <f t="shared" si="5"/>
        <v>1.2323746094325669</v>
      </c>
    </row>
    <row r="182" spans="1:8" ht="14.25" customHeight="1">
      <c r="A182" s="18">
        <v>45467</v>
      </c>
      <c r="B182" s="3" t="s">
        <v>20</v>
      </c>
      <c r="C182" s="12">
        <v>9964</v>
      </c>
      <c r="D182" s="12">
        <v>576</v>
      </c>
      <c r="E182" s="12">
        <v>675785</v>
      </c>
      <c r="F182" s="3">
        <v>10.21656296011305</v>
      </c>
      <c r="G182" s="24">
        <v>27081</v>
      </c>
      <c r="H182" s="8">
        <f t="shared" si="5"/>
        <v>1.4087698474032746</v>
      </c>
    </row>
    <row r="183" spans="1:8" ht="14.25" customHeight="1">
      <c r="A183" s="18">
        <v>45468</v>
      </c>
      <c r="B183" s="3" t="s">
        <v>20</v>
      </c>
      <c r="C183" s="12">
        <v>9964</v>
      </c>
      <c r="D183" s="12">
        <v>651</v>
      </c>
      <c r="E183" s="12">
        <v>872714</v>
      </c>
      <c r="F183" s="3">
        <v>9.5052903929580594</v>
      </c>
      <c r="G183" s="24">
        <v>27081</v>
      </c>
      <c r="H183" s="8">
        <f t="shared" si="5"/>
        <v>1.0786413265678405</v>
      </c>
    </row>
    <row r="184" spans="1:8" ht="14.25" customHeight="1">
      <c r="A184" s="18">
        <v>45469</v>
      </c>
      <c r="B184" s="3" t="s">
        <v>20</v>
      </c>
      <c r="C184" s="12">
        <v>9964</v>
      </c>
      <c r="D184" s="12">
        <v>1305</v>
      </c>
      <c r="E184" s="12">
        <v>798137</v>
      </c>
      <c r="F184" s="3">
        <v>9.1811305577864442</v>
      </c>
      <c r="G184" s="24">
        <v>27081</v>
      </c>
      <c r="H184" s="8">
        <f t="shared" si="5"/>
        <v>1.0968006708229994</v>
      </c>
    </row>
    <row r="185" spans="1:8" ht="14.25" customHeight="1">
      <c r="A185" s="18">
        <v>45470</v>
      </c>
      <c r="B185" s="3" t="s">
        <v>20</v>
      </c>
      <c r="C185" s="12">
        <v>9964</v>
      </c>
      <c r="D185" s="12">
        <v>957</v>
      </c>
      <c r="E185" s="12">
        <v>889484</v>
      </c>
      <c r="F185" s="3">
        <v>8.768004820772493</v>
      </c>
      <c r="G185" s="24">
        <v>27081</v>
      </c>
      <c r="H185" s="8">
        <f t="shared" si="5"/>
        <v>1.0229682319924314</v>
      </c>
    </row>
    <row r="186" spans="1:8" ht="14.25" customHeight="1">
      <c r="A186" s="18">
        <v>45471</v>
      </c>
      <c r="B186" s="3" t="s">
        <v>20</v>
      </c>
      <c r="C186" s="12">
        <v>9964</v>
      </c>
      <c r="D186" s="12">
        <v>433</v>
      </c>
      <c r="E186" s="12">
        <v>522852</v>
      </c>
      <c r="F186" s="3">
        <v>8.3562843787534522</v>
      </c>
      <c r="G186" s="24">
        <v>27081</v>
      </c>
      <c r="H186" s="8">
        <f t="shared" si="5"/>
        <v>1.856732921505257</v>
      </c>
    </row>
    <row r="187" spans="1:8" ht="14.25" customHeight="1">
      <c r="A187" s="18">
        <v>45472</v>
      </c>
      <c r="B187" s="3" t="s">
        <v>20</v>
      </c>
      <c r="C187" s="12">
        <v>9964</v>
      </c>
      <c r="D187" s="12">
        <v>869</v>
      </c>
      <c r="E187" s="12">
        <v>1073082</v>
      </c>
      <c r="F187" s="3">
        <v>8.1237966902808925</v>
      </c>
      <c r="G187" s="24">
        <v>27081</v>
      </c>
      <c r="H187" s="8">
        <f t="shared" si="5"/>
        <v>0.85480367711259642</v>
      </c>
    </row>
    <row r="188" spans="1:8" ht="14.25" customHeight="1">
      <c r="A188" s="18">
        <v>45473</v>
      </c>
      <c r="B188" s="3" t="s">
        <v>20</v>
      </c>
      <c r="C188" s="12">
        <v>9964</v>
      </c>
      <c r="D188" s="12">
        <v>686</v>
      </c>
      <c r="E188" s="12">
        <v>846217</v>
      </c>
      <c r="F188" s="3">
        <v>7.201344336027284</v>
      </c>
      <c r="G188" s="24">
        <v>27081</v>
      </c>
      <c r="H188" s="8">
        <f t="shared" si="5"/>
        <v>1.1085634675884384</v>
      </c>
    </row>
    <row r="189" spans="1:8" ht="14.25" customHeight="1">
      <c r="A189" s="18">
        <v>45474</v>
      </c>
      <c r="B189" s="3" t="s">
        <v>20</v>
      </c>
      <c r="C189" s="12">
        <v>9964</v>
      </c>
      <c r="D189" s="12">
        <v>665</v>
      </c>
      <c r="E189" s="12">
        <v>1157985</v>
      </c>
      <c r="F189" s="3">
        <v>6.9871371390821126</v>
      </c>
      <c r="G189" s="24">
        <v>27081</v>
      </c>
      <c r="H189" s="8">
        <f t="shared" si="5"/>
        <v>0.80953367586964575</v>
      </c>
    </row>
    <row r="190" spans="1:8" ht="14.25" customHeight="1">
      <c r="A190" s="18">
        <v>45475</v>
      </c>
      <c r="B190" s="3" t="s">
        <v>20</v>
      </c>
      <c r="C190" s="12">
        <v>9964</v>
      </c>
      <c r="D190" s="12">
        <v>143</v>
      </c>
      <c r="E190" s="12">
        <v>432424</v>
      </c>
      <c r="F190" s="3">
        <v>6.9547481175882924</v>
      </c>
      <c r="G190" s="24">
        <v>27081</v>
      </c>
      <c r="H190" s="8">
        <f t="shared" si="5"/>
        <v>2.3239304974171979</v>
      </c>
    </row>
    <row r="191" spans="1:8" ht="14.25" customHeight="1">
      <c r="A191" s="18">
        <v>45476</v>
      </c>
      <c r="B191" s="3" t="s">
        <v>20</v>
      </c>
      <c r="C191" s="12">
        <v>9964</v>
      </c>
      <c r="D191" s="12">
        <v>202</v>
      </c>
      <c r="E191" s="12">
        <v>1064988</v>
      </c>
      <c r="F191" s="3">
        <v>6.5457075572682513</v>
      </c>
      <c r="G191" s="24">
        <v>27081</v>
      </c>
      <c r="H191" s="8">
        <f t="shared" si="5"/>
        <v>0.92510988167463659</v>
      </c>
    </row>
    <row r="192" spans="1:8" ht="14.25" customHeight="1">
      <c r="A192" s="18">
        <v>45477</v>
      </c>
      <c r="B192" s="3" t="s">
        <v>20</v>
      </c>
      <c r="C192" s="12">
        <v>9964</v>
      </c>
      <c r="D192" s="12">
        <v>539</v>
      </c>
      <c r="E192" s="12">
        <v>574674</v>
      </c>
      <c r="F192" s="3">
        <v>6.4069368024305948</v>
      </c>
      <c r="G192" s="24">
        <v>27081</v>
      </c>
      <c r="H192" s="8">
        <f t="shared" si="5"/>
        <v>1.6674067534838628</v>
      </c>
    </row>
    <row r="193" spans="1:8" ht="14.25" customHeight="1">
      <c r="A193" s="18">
        <v>45478</v>
      </c>
      <c r="B193" s="3" t="s">
        <v>20</v>
      </c>
      <c r="C193" s="12">
        <v>9964</v>
      </c>
      <c r="D193" s="12">
        <v>682</v>
      </c>
      <c r="E193" s="12">
        <v>429929</v>
      </c>
      <c r="F193" s="3">
        <v>6.2966210699906267</v>
      </c>
      <c r="G193" s="24">
        <v>27081</v>
      </c>
      <c r="H193" s="8">
        <f t="shared" si="5"/>
        <v>2.2066007840303152</v>
      </c>
    </row>
    <row r="194" spans="1:8" ht="14.25" customHeight="1">
      <c r="A194" s="18">
        <v>45479</v>
      </c>
      <c r="B194" s="3" t="s">
        <v>20</v>
      </c>
      <c r="C194" s="12">
        <v>9964</v>
      </c>
      <c r="D194" s="12">
        <v>558</v>
      </c>
      <c r="E194" s="12">
        <v>1041686</v>
      </c>
      <c r="F194" s="3">
        <v>5.7680529449373434</v>
      </c>
      <c r="G194" s="24">
        <v>27081</v>
      </c>
      <c r="H194" s="8">
        <f t="shared" ref="H194:H201" si="6">((C194-D194)/(E194-C194+D194))*100</f>
        <v>0.91118688727864527</v>
      </c>
    </row>
    <row r="195" spans="1:8" ht="14.25" customHeight="1">
      <c r="A195" s="18">
        <v>45480</v>
      </c>
      <c r="B195" s="3" t="s">
        <v>20</v>
      </c>
      <c r="C195" s="12">
        <v>9964</v>
      </c>
      <c r="D195" s="12">
        <v>875</v>
      </c>
      <c r="E195" s="12">
        <v>545824</v>
      </c>
      <c r="F195" s="3">
        <v>5.5136820660139527</v>
      </c>
      <c r="G195" s="24">
        <v>27081</v>
      </c>
      <c r="H195" s="8">
        <f t="shared" si="6"/>
        <v>1.6933868668896197</v>
      </c>
    </row>
    <row r="196" spans="1:8" ht="14.25" customHeight="1">
      <c r="A196" s="18">
        <v>45481</v>
      </c>
      <c r="B196" s="3" t="s">
        <v>20</v>
      </c>
      <c r="C196" s="12">
        <v>9964</v>
      </c>
      <c r="D196" s="12">
        <v>633</v>
      </c>
      <c r="E196" s="12">
        <v>198388</v>
      </c>
      <c r="F196" s="3">
        <v>5.4343004617214756</v>
      </c>
      <c r="G196" s="24">
        <v>27081</v>
      </c>
      <c r="H196" s="8">
        <f t="shared" si="6"/>
        <v>4.9355485382715267</v>
      </c>
    </row>
    <row r="197" spans="1:8" ht="14.25" customHeight="1">
      <c r="A197" s="18">
        <v>45482</v>
      </c>
      <c r="B197" s="3" t="s">
        <v>20</v>
      </c>
      <c r="C197" s="12">
        <v>9964</v>
      </c>
      <c r="D197" s="12">
        <v>880</v>
      </c>
      <c r="E197" s="12">
        <v>966020</v>
      </c>
      <c r="F197" s="3">
        <v>4.6083932009689246</v>
      </c>
      <c r="G197" s="24">
        <v>27081</v>
      </c>
      <c r="H197" s="8">
        <f t="shared" si="6"/>
        <v>0.94927978464599516</v>
      </c>
    </row>
    <row r="198" spans="1:8" ht="14.25" customHeight="1">
      <c r="A198" s="18">
        <v>45483</v>
      </c>
      <c r="B198" s="3" t="s">
        <v>20</v>
      </c>
      <c r="C198" s="12">
        <v>9964</v>
      </c>
      <c r="D198" s="12">
        <v>666</v>
      </c>
      <c r="E198" s="12">
        <v>359081</v>
      </c>
      <c r="F198" s="3">
        <v>4.6034181702735593</v>
      </c>
      <c r="G198" s="24">
        <v>27081</v>
      </c>
      <c r="H198" s="8">
        <f t="shared" si="6"/>
        <v>2.6582195246767282</v>
      </c>
    </row>
    <row r="199" spans="1:8" ht="14.25" customHeight="1">
      <c r="A199" s="18">
        <v>45484</v>
      </c>
      <c r="B199" s="3" t="s">
        <v>20</v>
      </c>
      <c r="C199" s="12">
        <v>9964</v>
      </c>
      <c r="D199" s="12">
        <v>575</v>
      </c>
      <c r="E199" s="12">
        <v>625922</v>
      </c>
      <c r="F199" s="3">
        <v>3.0908004511744269</v>
      </c>
      <c r="G199" s="24">
        <v>27081</v>
      </c>
      <c r="H199" s="8">
        <f t="shared" si="6"/>
        <v>1.5228706330399184</v>
      </c>
    </row>
    <row r="200" spans="1:8" ht="14.25" customHeight="1">
      <c r="A200" s="4" t="s">
        <v>521</v>
      </c>
      <c r="B200" s="3" t="s">
        <v>20</v>
      </c>
      <c r="C200" s="12">
        <v>9964</v>
      </c>
      <c r="D200" s="12">
        <v>454</v>
      </c>
      <c r="E200" s="12">
        <v>995050</v>
      </c>
      <c r="F200" s="3">
        <v>2.1106477061454201</v>
      </c>
      <c r="G200" s="24">
        <v>27081</v>
      </c>
      <c r="H200" s="8">
        <f t="shared" si="6"/>
        <v>0.96495322361345048</v>
      </c>
    </row>
    <row r="201" spans="1:8" ht="14.25" customHeight="1">
      <c r="A201" s="4" t="s">
        <v>367</v>
      </c>
      <c r="B201" s="3" t="s">
        <v>20</v>
      </c>
      <c r="C201" s="12">
        <v>9964</v>
      </c>
      <c r="D201" s="12">
        <v>985</v>
      </c>
      <c r="E201" s="12">
        <v>947047</v>
      </c>
      <c r="F201" s="3">
        <v>1.9837452629066989</v>
      </c>
      <c r="G201" s="24">
        <v>27081</v>
      </c>
      <c r="H201" s="8">
        <f t="shared" si="6"/>
        <v>0.95718007649765269</v>
      </c>
    </row>
    <row r="202" spans="1:8" ht="14.25" customHeight="1">
      <c r="A202" s="4"/>
    </row>
    <row r="203" spans="1:8" ht="14.25" customHeight="1">
      <c r="A203" s="4"/>
    </row>
    <row r="204" spans="1:8" ht="14.25" customHeight="1">
      <c r="A204" s="4"/>
    </row>
    <row r="205" spans="1:8" ht="14.25" customHeight="1">
      <c r="A205" s="4"/>
    </row>
    <row r="206" spans="1:8" ht="14.25" customHeight="1">
      <c r="A206" s="4"/>
    </row>
    <row r="207" spans="1:8" ht="14.25" customHeight="1">
      <c r="A207" s="4"/>
    </row>
    <row r="208" spans="1:8" ht="14.25" customHeight="1">
      <c r="A208" s="4"/>
    </row>
    <row r="209" spans="1:1" ht="14.25" customHeight="1">
      <c r="A209" s="4"/>
    </row>
    <row r="210" spans="1:1" ht="14.25" customHeight="1">
      <c r="A210" s="4"/>
    </row>
    <row r="211" spans="1:1" ht="14.25" customHeight="1">
      <c r="A211" s="4"/>
    </row>
    <row r="212" spans="1:1" ht="14.25" customHeight="1">
      <c r="A212" s="4"/>
    </row>
    <row r="213" spans="1:1" ht="14.25" customHeight="1">
      <c r="A213" s="4"/>
    </row>
    <row r="214" spans="1:1" ht="14.25" customHeight="1">
      <c r="A214" s="4"/>
    </row>
    <row r="215" spans="1:1" ht="14.25" customHeight="1">
      <c r="A215" s="4"/>
    </row>
    <row r="216" spans="1:1" ht="14.25" customHeight="1">
      <c r="A216" s="4"/>
    </row>
    <row r="217" spans="1:1" ht="14.25" customHeight="1">
      <c r="A217" s="4"/>
    </row>
    <row r="218" spans="1:1" ht="14.25" customHeight="1">
      <c r="A218" s="4"/>
    </row>
    <row r="219" spans="1:1" ht="14.25" customHeight="1">
      <c r="A219" s="4"/>
    </row>
    <row r="220" spans="1:1" ht="14.25" customHeight="1">
      <c r="A220" s="4"/>
    </row>
    <row r="221" spans="1:1" ht="14.25" customHeight="1">
      <c r="A221" s="4"/>
    </row>
    <row r="222" spans="1:1" ht="14.25" customHeight="1">
      <c r="A222" s="4"/>
    </row>
    <row r="223" spans="1:1" ht="14.25" customHeight="1">
      <c r="A223" s="4"/>
    </row>
    <row r="224" spans="1:1" ht="14.25" customHeight="1">
      <c r="A224" s="4"/>
    </row>
    <row r="225" spans="1:1" ht="14.25" customHeight="1">
      <c r="A225" s="4"/>
    </row>
    <row r="226" spans="1:1" ht="14.25" customHeight="1">
      <c r="A226" s="4"/>
    </row>
    <row r="227" spans="1:1" ht="14.25" customHeight="1">
      <c r="A227" s="4"/>
    </row>
    <row r="228" spans="1:1" ht="14.25" customHeight="1">
      <c r="A228" s="4"/>
    </row>
    <row r="229" spans="1:1" ht="14.25" customHeight="1">
      <c r="A229" s="4"/>
    </row>
    <row r="230" spans="1:1" ht="14.25" customHeight="1">
      <c r="A230" s="4"/>
    </row>
    <row r="231" spans="1:1" ht="14.25" customHeight="1">
      <c r="A231" s="4"/>
    </row>
    <row r="232" spans="1:1" ht="14.25" customHeight="1">
      <c r="A232" s="4"/>
    </row>
    <row r="233" spans="1:1" ht="14.25" customHeight="1">
      <c r="A233" s="4"/>
    </row>
    <row r="234" spans="1:1" ht="14.25" customHeight="1">
      <c r="A234" s="4"/>
    </row>
    <row r="235" spans="1:1" ht="14.25" customHeight="1">
      <c r="A235" s="5"/>
    </row>
    <row r="236" spans="1:1" ht="14.25" customHeight="1">
      <c r="A236" s="5"/>
    </row>
    <row r="237" spans="1:1" ht="14.25" customHeight="1">
      <c r="A237" s="5"/>
    </row>
    <row r="238" spans="1:1" ht="14.25" customHeight="1">
      <c r="A238" s="5"/>
    </row>
    <row r="239" spans="1:1" ht="14.25" customHeight="1">
      <c r="A239" s="5"/>
    </row>
    <row r="240" spans="1:1" ht="14.25" customHeight="1">
      <c r="A240" s="5"/>
    </row>
    <row r="241" spans="1:1" ht="14.25" customHeight="1">
      <c r="A241" s="5"/>
    </row>
    <row r="242" spans="1:1" ht="14.25" customHeight="1">
      <c r="A242" s="5"/>
    </row>
    <row r="243" spans="1:1" ht="14.25" customHeight="1">
      <c r="A243" s="5"/>
    </row>
    <row r="244" spans="1:1" ht="14.25" customHeight="1">
      <c r="A244" s="5"/>
    </row>
    <row r="245" spans="1:1" ht="14.25" customHeight="1">
      <c r="A245" s="5"/>
    </row>
    <row r="246" spans="1:1" ht="14.25" customHeight="1">
      <c r="A246" s="5"/>
    </row>
    <row r="247" spans="1:1" ht="14.25" customHeight="1">
      <c r="A247" s="5"/>
    </row>
    <row r="248" spans="1:1" ht="14.25" customHeight="1">
      <c r="A248" s="5"/>
    </row>
    <row r="249" spans="1:1" ht="14.25" customHeight="1">
      <c r="A249" s="5"/>
    </row>
    <row r="250" spans="1:1" ht="14.25" customHeight="1">
      <c r="A250" s="5"/>
    </row>
    <row r="251" spans="1:1" ht="14.25" customHeight="1">
      <c r="A251" s="5"/>
    </row>
    <row r="252" spans="1:1" ht="14.25" customHeight="1"/>
    <row r="253" spans="1:1" ht="14.25" customHeight="1"/>
    <row r="254" spans="1:1" ht="14.25" customHeight="1"/>
    <row r="255" spans="1:1" ht="14.25" customHeight="1"/>
    <row r="256" spans="1:1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1" sqref="E1:E6"/>
    </sheetView>
  </sheetViews>
  <sheetFormatPr defaultColWidth="14.42578125" defaultRowHeight="15" customHeight="1"/>
  <cols>
    <col min="1" max="3" width="28" customWidth="1"/>
    <col min="4" max="4" width="26.5703125" customWidth="1"/>
    <col min="5" max="5" width="9.85546875" bestFit="1" customWidth="1"/>
    <col min="6" max="6" width="11.5703125" bestFit="1" customWidth="1"/>
    <col min="7" max="7" width="18" bestFit="1" customWidth="1"/>
    <col min="8" max="28" width="8.7109375" customWidth="1"/>
  </cols>
  <sheetData>
    <row r="1" spans="1:7" ht="14.25" customHeight="1">
      <c r="A1" s="1" t="s">
        <v>530</v>
      </c>
      <c r="B1" s="1" t="s">
        <v>531</v>
      </c>
      <c r="C1" s="1" t="s">
        <v>532</v>
      </c>
      <c r="D1" s="1" t="s">
        <v>533</v>
      </c>
      <c r="E1" s="1" t="s">
        <v>510</v>
      </c>
      <c r="F1" s="1" t="s">
        <v>10</v>
      </c>
      <c r="G1" s="1" t="s">
        <v>534</v>
      </c>
    </row>
    <row r="2" spans="1:7" ht="14.25" customHeight="1">
      <c r="A2" s="3" t="s">
        <v>24</v>
      </c>
      <c r="B2" s="7" t="s">
        <v>535</v>
      </c>
      <c r="C2" s="7" t="s">
        <v>259</v>
      </c>
      <c r="D2" s="3" t="s">
        <v>536</v>
      </c>
      <c r="E2" s="24">
        <v>85000</v>
      </c>
      <c r="F2" s="12">
        <v>950000</v>
      </c>
      <c r="G2" s="37">
        <v>0.45</v>
      </c>
    </row>
    <row r="3" spans="1:7" ht="14.25" customHeight="1">
      <c r="A3" s="3" t="s">
        <v>18</v>
      </c>
      <c r="B3" s="7" t="s">
        <v>537</v>
      </c>
      <c r="C3" s="7" t="s">
        <v>538</v>
      </c>
      <c r="D3" s="3" t="s">
        <v>539</v>
      </c>
      <c r="E3" s="24">
        <v>85000</v>
      </c>
      <c r="F3" s="12">
        <v>780000</v>
      </c>
      <c r="G3" s="37">
        <v>0.38</v>
      </c>
    </row>
    <row r="4" spans="1:7" ht="14.25" customHeight="1">
      <c r="A4" s="3" t="s">
        <v>33</v>
      </c>
      <c r="B4" s="7" t="s">
        <v>540</v>
      </c>
      <c r="C4" s="7" t="s">
        <v>329</v>
      </c>
      <c r="D4" s="3" t="s">
        <v>541</v>
      </c>
      <c r="E4" s="24">
        <v>85000</v>
      </c>
      <c r="F4" s="12">
        <v>700000</v>
      </c>
      <c r="G4" s="37">
        <v>0.41</v>
      </c>
    </row>
    <row r="5" spans="1:7" ht="14.25" customHeight="1">
      <c r="A5" s="3" t="s">
        <v>28</v>
      </c>
      <c r="B5" s="7" t="s">
        <v>542</v>
      </c>
      <c r="C5" s="7" t="s">
        <v>520</v>
      </c>
      <c r="D5" s="3" t="s">
        <v>543</v>
      </c>
      <c r="E5" s="24">
        <v>85000</v>
      </c>
      <c r="F5" s="12">
        <v>550000</v>
      </c>
      <c r="G5" s="37">
        <v>0.32</v>
      </c>
    </row>
    <row r="6" spans="1:7" ht="14.25" customHeight="1">
      <c r="A6" s="3" t="s">
        <v>37</v>
      </c>
      <c r="B6" s="10">
        <v>45901</v>
      </c>
      <c r="C6" s="10">
        <v>45930</v>
      </c>
      <c r="D6" s="3" t="s">
        <v>544</v>
      </c>
      <c r="E6" s="24">
        <v>85000</v>
      </c>
      <c r="F6" s="12">
        <v>880000</v>
      </c>
      <c r="G6" s="37">
        <v>0.47</v>
      </c>
    </row>
    <row r="7" spans="1:7" ht="14.25" customHeight="1"/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EE40-84C7-4299-B181-D0C14030142D}">
  <dimension ref="A1:N1000"/>
  <sheetViews>
    <sheetView workbookViewId="0">
      <selection activeCell="J14" sqref="J14"/>
    </sheetView>
  </sheetViews>
  <sheetFormatPr defaultColWidth="14.42578125" defaultRowHeight="15" customHeight="1"/>
  <cols>
    <col min="1" max="1" width="8.7109375" customWidth="1"/>
    <col min="2" max="2" width="10.85546875" customWidth="1"/>
    <col min="3" max="3" width="10.85546875" bestFit="1" customWidth="1"/>
    <col min="4" max="4" width="14.5703125" bestFit="1" customWidth="1"/>
    <col min="5" max="5" width="33.28515625" bestFit="1" customWidth="1"/>
    <col min="6" max="6" width="33.28515625" customWidth="1"/>
    <col min="7" max="8" width="8.7109375" customWidth="1"/>
    <col min="9" max="9" width="11" bestFit="1" customWidth="1"/>
    <col min="10" max="10" width="8.7109375" customWidth="1"/>
    <col min="11" max="11" width="8.5703125" bestFit="1" customWidth="1"/>
    <col min="12" max="12" width="13.85546875" bestFit="1" customWidth="1"/>
    <col min="13" max="13" width="33.42578125" customWidth="1"/>
    <col min="14" max="14" width="13.28515625" bestFit="1" customWidth="1"/>
    <col min="15" max="27" width="8.710937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545</v>
      </c>
      <c r="F1" s="1" t="s">
        <v>546</v>
      </c>
      <c r="G1" s="1" t="s">
        <v>5</v>
      </c>
      <c r="H1" s="1" t="s">
        <v>6</v>
      </c>
      <c r="I1" s="23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6" t="s">
        <v>12</v>
      </c>
    </row>
    <row r="2" spans="1:14" ht="14.25" customHeight="1">
      <c r="A2" s="3" t="s">
        <v>503</v>
      </c>
      <c r="B2" s="3" t="s">
        <v>14</v>
      </c>
      <c r="C2" s="9" t="s">
        <v>504</v>
      </c>
      <c r="D2" s="3" t="s">
        <v>22</v>
      </c>
      <c r="E2" s="3" t="s">
        <v>547</v>
      </c>
      <c r="F2" s="3" t="s">
        <v>548</v>
      </c>
      <c r="G2" s="12">
        <v>22914</v>
      </c>
      <c r="H2" s="12">
        <v>954</v>
      </c>
      <c r="I2" s="12">
        <v>584</v>
      </c>
      <c r="J2" s="12">
        <v>1519</v>
      </c>
      <c r="K2" s="13">
        <v>13637</v>
      </c>
      <c r="L2" s="12">
        <v>49847</v>
      </c>
      <c r="M2" s="3" t="s">
        <v>33</v>
      </c>
      <c r="N2" s="30">
        <f>(G2 + H2 + I2 ) / L2</f>
        <v>0.49054105563022848</v>
      </c>
    </row>
    <row r="3" spans="1:14" ht="14.25" customHeight="1">
      <c r="A3" s="3" t="s">
        <v>502</v>
      </c>
      <c r="B3" s="3" t="s">
        <v>20</v>
      </c>
      <c r="C3" s="9" t="s">
        <v>156</v>
      </c>
      <c r="D3" s="3" t="s">
        <v>35</v>
      </c>
      <c r="E3" s="3" t="s">
        <v>88</v>
      </c>
      <c r="F3" s="3"/>
      <c r="G3" s="12">
        <v>20360</v>
      </c>
      <c r="H3" s="12">
        <v>254</v>
      </c>
      <c r="I3" s="12">
        <v>726</v>
      </c>
      <c r="J3" s="12">
        <v>1995</v>
      </c>
      <c r="K3" s="13">
        <v>14280</v>
      </c>
      <c r="L3" s="12">
        <v>43726</v>
      </c>
      <c r="M3" s="3" t="s">
        <v>24</v>
      </c>
      <c r="N3" s="30">
        <f>(G3 + H3 + I3 ) / L3</f>
        <v>0.48803915290673738</v>
      </c>
    </row>
    <row r="4" spans="1:14" ht="14.25" customHeight="1">
      <c r="A4" s="3" t="s">
        <v>501</v>
      </c>
      <c r="B4" s="3" t="s">
        <v>14</v>
      </c>
      <c r="C4" s="9" t="s">
        <v>57</v>
      </c>
      <c r="D4" s="3" t="s">
        <v>22</v>
      </c>
      <c r="E4" s="3" t="s">
        <v>549</v>
      </c>
      <c r="F4" s="3" t="s">
        <v>550</v>
      </c>
      <c r="G4" s="12">
        <v>19144</v>
      </c>
      <c r="H4" s="12">
        <v>1182</v>
      </c>
      <c r="I4" s="12">
        <v>860</v>
      </c>
      <c r="J4" s="12">
        <v>1398</v>
      </c>
      <c r="K4" s="13">
        <v>4185</v>
      </c>
      <c r="L4" s="12">
        <v>46570</v>
      </c>
      <c r="M4" s="3" t="s">
        <v>33</v>
      </c>
      <c r="N4" s="30">
        <f>(G4 + H4 + I4 ) / L4</f>
        <v>0.454928065278076</v>
      </c>
    </row>
    <row r="5" spans="1:14" ht="14.25" customHeight="1">
      <c r="A5" s="3" t="s">
        <v>500</v>
      </c>
      <c r="B5" s="3" t="s">
        <v>62</v>
      </c>
      <c r="C5" s="9" t="s">
        <v>256</v>
      </c>
      <c r="D5" s="3" t="s">
        <v>31</v>
      </c>
      <c r="E5" s="3" t="s">
        <v>551</v>
      </c>
      <c r="F5" s="3" t="s">
        <v>552</v>
      </c>
      <c r="G5" s="12">
        <v>24415</v>
      </c>
      <c r="H5" s="12">
        <v>860</v>
      </c>
      <c r="I5" s="12">
        <v>931</v>
      </c>
      <c r="J5" s="12">
        <v>320</v>
      </c>
      <c r="K5" s="13">
        <v>65049</v>
      </c>
      <c r="L5" s="12">
        <v>62911</v>
      </c>
      <c r="M5" s="3" t="s">
        <v>33</v>
      </c>
      <c r="N5" s="30">
        <f>(G5 + H5 + I5 ) / L5</f>
        <v>0.41655672298962027</v>
      </c>
    </row>
    <row r="6" spans="1:14" ht="14.25" customHeight="1">
      <c r="A6" s="3" t="s">
        <v>498</v>
      </c>
      <c r="B6" s="3" t="s">
        <v>20</v>
      </c>
      <c r="C6" s="9" t="s">
        <v>499</v>
      </c>
      <c r="D6" s="3" t="s">
        <v>16</v>
      </c>
      <c r="E6" s="3" t="s">
        <v>547</v>
      </c>
      <c r="F6" s="3" t="s">
        <v>548</v>
      </c>
      <c r="G6" s="12">
        <v>21255</v>
      </c>
      <c r="H6" s="12">
        <v>1452</v>
      </c>
      <c r="I6" s="12">
        <v>625</v>
      </c>
      <c r="J6" s="12">
        <v>1624</v>
      </c>
      <c r="K6" s="13">
        <v>23275</v>
      </c>
      <c r="L6" s="12">
        <v>57778</v>
      </c>
      <c r="M6" s="3" t="s">
        <v>18</v>
      </c>
      <c r="N6" s="30">
        <f>(G6 + H6 + I6 ) / L6</f>
        <v>0.40382152376337016</v>
      </c>
    </row>
    <row r="7" spans="1:14" ht="14.25" customHeight="1">
      <c r="A7" s="3" t="s">
        <v>497</v>
      </c>
      <c r="B7" s="3" t="s">
        <v>62</v>
      </c>
      <c r="C7" s="9" t="s">
        <v>459</v>
      </c>
      <c r="D7" s="3" t="s">
        <v>22</v>
      </c>
      <c r="E7" s="3" t="s">
        <v>551</v>
      </c>
      <c r="F7" s="3" t="s">
        <v>552</v>
      </c>
      <c r="G7" s="12">
        <v>17183</v>
      </c>
      <c r="H7" s="12">
        <v>1224</v>
      </c>
      <c r="I7" s="12">
        <v>943</v>
      </c>
      <c r="J7" s="12">
        <v>2010</v>
      </c>
      <c r="K7" s="13">
        <v>21481</v>
      </c>
      <c r="L7" s="12">
        <v>49110</v>
      </c>
      <c r="M7" s="3" t="s">
        <v>28</v>
      </c>
      <c r="N7" s="30">
        <f>(G7 + H7 + I7 ) / L7</f>
        <v>0.39401343921808185</v>
      </c>
    </row>
    <row r="8" spans="1:14" ht="14.25" customHeight="1">
      <c r="A8" s="3" t="s">
        <v>496</v>
      </c>
      <c r="B8" s="3" t="s">
        <v>44</v>
      </c>
      <c r="C8" s="9" t="s">
        <v>326</v>
      </c>
      <c r="D8" s="3" t="s">
        <v>22</v>
      </c>
      <c r="E8" s="3" t="s">
        <v>551</v>
      </c>
      <c r="F8" s="3" t="s">
        <v>553</v>
      </c>
      <c r="G8" s="12">
        <v>14977</v>
      </c>
      <c r="H8" s="12">
        <v>274</v>
      </c>
      <c r="I8" s="12">
        <v>798</v>
      </c>
      <c r="J8" s="12">
        <v>458</v>
      </c>
      <c r="K8" s="13">
        <v>6636</v>
      </c>
      <c r="L8" s="12">
        <v>43654</v>
      </c>
      <c r="M8" s="3" t="s">
        <v>33</v>
      </c>
      <c r="N8" s="30">
        <f>(G8 + H8 + I8 ) / L8</f>
        <v>0.36764099509781462</v>
      </c>
    </row>
    <row r="9" spans="1:14" ht="14.25" customHeight="1">
      <c r="A9" s="3" t="s">
        <v>495</v>
      </c>
      <c r="B9" s="3" t="s">
        <v>62</v>
      </c>
      <c r="C9" s="10">
        <v>45908</v>
      </c>
      <c r="D9" s="3" t="s">
        <v>35</v>
      </c>
      <c r="E9" s="3" t="s">
        <v>554</v>
      </c>
      <c r="F9" s="3" t="s">
        <v>555</v>
      </c>
      <c r="G9" s="12">
        <v>23785</v>
      </c>
      <c r="H9" s="12">
        <v>1013</v>
      </c>
      <c r="I9" s="12">
        <v>468</v>
      </c>
      <c r="J9" s="12">
        <v>1628</v>
      </c>
      <c r="K9" s="13">
        <v>8272</v>
      </c>
      <c r="L9" s="12">
        <v>71348</v>
      </c>
      <c r="M9" s="3" t="s">
        <v>37</v>
      </c>
      <c r="N9" s="30">
        <f>(G9 + H9 + I9 ) / L9</f>
        <v>0.35412345125301342</v>
      </c>
    </row>
    <row r="10" spans="1:14" ht="14.25" customHeight="1">
      <c r="A10" s="3" t="s">
        <v>494</v>
      </c>
      <c r="B10" s="3" t="s">
        <v>62</v>
      </c>
      <c r="C10" s="10">
        <v>45909</v>
      </c>
      <c r="D10" s="3" t="s">
        <v>31</v>
      </c>
      <c r="E10" s="3" t="s">
        <v>547</v>
      </c>
      <c r="F10" s="3" t="s">
        <v>548</v>
      </c>
      <c r="G10" s="12">
        <v>19260</v>
      </c>
      <c r="H10" s="12">
        <v>668</v>
      </c>
      <c r="I10" s="12">
        <v>994</v>
      </c>
      <c r="J10" s="12">
        <v>934</v>
      </c>
      <c r="K10" s="13">
        <v>20509</v>
      </c>
      <c r="L10" s="12">
        <v>61636</v>
      </c>
      <c r="M10" s="3" t="s">
        <v>37</v>
      </c>
      <c r="N10" s="30">
        <f>(G10 + H10 + I10 ) / L10</f>
        <v>0.33944448049841003</v>
      </c>
    </row>
    <row r="11" spans="1:14" ht="14.25" customHeight="1">
      <c r="A11" s="3" t="s">
        <v>492</v>
      </c>
      <c r="B11" s="3" t="s">
        <v>44</v>
      </c>
      <c r="C11" s="9" t="s">
        <v>493</v>
      </c>
      <c r="D11" s="3" t="s">
        <v>31</v>
      </c>
      <c r="E11" s="3" t="s">
        <v>556</v>
      </c>
      <c r="F11" s="3" t="s">
        <v>557</v>
      </c>
      <c r="G11" s="12">
        <v>21181</v>
      </c>
      <c r="H11" s="12">
        <v>1242</v>
      </c>
      <c r="I11" s="12">
        <v>963</v>
      </c>
      <c r="J11" s="12">
        <v>1689</v>
      </c>
      <c r="K11" s="13">
        <v>49329</v>
      </c>
      <c r="L11" s="12">
        <v>69165</v>
      </c>
      <c r="M11" s="3" t="s">
        <v>33</v>
      </c>
      <c r="N11" s="30">
        <f>(G11 + H11 + I11 ) / L11</f>
        <v>0.33811899081905589</v>
      </c>
    </row>
    <row r="12" spans="1:14" ht="14.25" customHeight="1">
      <c r="A12" s="3" t="s">
        <v>490</v>
      </c>
      <c r="B12" s="3" t="s">
        <v>62</v>
      </c>
      <c r="C12" s="9" t="s">
        <v>491</v>
      </c>
      <c r="D12" s="3" t="s">
        <v>16</v>
      </c>
      <c r="E12" s="3" t="s">
        <v>554</v>
      </c>
      <c r="F12" s="3" t="s">
        <v>555</v>
      </c>
      <c r="G12" s="12">
        <v>23833</v>
      </c>
      <c r="H12" s="12">
        <v>555</v>
      </c>
      <c r="I12" s="12">
        <v>523</v>
      </c>
      <c r="J12" s="12">
        <v>1330</v>
      </c>
      <c r="K12" s="13">
        <v>69141</v>
      </c>
      <c r="L12" s="12">
        <v>73997</v>
      </c>
      <c r="M12" s="3" t="s">
        <v>24</v>
      </c>
      <c r="N12" s="30">
        <f>(G12 + H12 + I12 ) / L12</f>
        <v>0.33664878305877266</v>
      </c>
    </row>
    <row r="13" spans="1:14" ht="14.25" customHeight="1">
      <c r="A13" s="3" t="s">
        <v>489</v>
      </c>
      <c r="B13" s="3" t="s">
        <v>14</v>
      </c>
      <c r="C13" s="9" t="s">
        <v>222</v>
      </c>
      <c r="D13" s="3" t="s">
        <v>16</v>
      </c>
      <c r="E13" s="3" t="s">
        <v>549</v>
      </c>
      <c r="F13" s="3" t="s">
        <v>550</v>
      </c>
      <c r="G13" s="12">
        <v>13479</v>
      </c>
      <c r="H13" s="12">
        <v>1189</v>
      </c>
      <c r="I13" s="12">
        <v>695</v>
      </c>
      <c r="J13" s="12">
        <v>416</v>
      </c>
      <c r="K13" s="13">
        <v>30229</v>
      </c>
      <c r="L13" s="12">
        <v>45704</v>
      </c>
      <c r="M13" s="3" t="s">
        <v>33</v>
      </c>
      <c r="N13" s="30">
        <f>(G13 + H13 + I13 ) / L13</f>
        <v>0.33614125678277612</v>
      </c>
    </row>
    <row r="14" spans="1:14" ht="14.25" customHeight="1">
      <c r="A14" s="3" t="s">
        <v>487</v>
      </c>
      <c r="B14" s="3" t="s">
        <v>44</v>
      </c>
      <c r="C14" s="9" t="s">
        <v>488</v>
      </c>
      <c r="D14" s="3" t="s">
        <v>16</v>
      </c>
      <c r="E14" s="3" t="s">
        <v>551</v>
      </c>
      <c r="F14" s="3" t="s">
        <v>552</v>
      </c>
      <c r="G14" s="12">
        <v>24350</v>
      </c>
      <c r="H14" s="12">
        <v>460</v>
      </c>
      <c r="I14" s="12">
        <v>666</v>
      </c>
      <c r="J14" s="12">
        <v>814</v>
      </c>
      <c r="K14" s="13">
        <v>21120</v>
      </c>
      <c r="L14" s="12">
        <v>76914</v>
      </c>
      <c r="M14" s="3" t="s">
        <v>33</v>
      </c>
      <c r="N14" s="30">
        <f>(G14 + H14 + I14 ) / L14</f>
        <v>0.33122708479600593</v>
      </c>
    </row>
    <row r="15" spans="1:14" ht="14.25" customHeight="1">
      <c r="A15" s="3" t="s">
        <v>486</v>
      </c>
      <c r="B15" s="3" t="s">
        <v>62</v>
      </c>
      <c r="C15" s="9" t="s">
        <v>381</v>
      </c>
      <c r="D15" s="3" t="s">
        <v>22</v>
      </c>
      <c r="E15" s="3" t="s">
        <v>558</v>
      </c>
      <c r="F15" s="3" t="s">
        <v>559</v>
      </c>
      <c r="G15" s="12">
        <v>17913</v>
      </c>
      <c r="H15" s="12">
        <v>1311</v>
      </c>
      <c r="I15" s="12">
        <v>859</v>
      </c>
      <c r="J15" s="12">
        <v>405</v>
      </c>
      <c r="K15" s="13">
        <v>59842</v>
      </c>
      <c r="L15" s="12">
        <v>62612</v>
      </c>
      <c r="M15" s="3" t="s">
        <v>28</v>
      </c>
      <c r="N15" s="30">
        <f>(G15 + H15 + I15 ) / L15</f>
        <v>0.32075321024723696</v>
      </c>
    </row>
    <row r="16" spans="1:14" ht="14.25" customHeight="1">
      <c r="A16" s="3" t="s">
        <v>484</v>
      </c>
      <c r="B16" s="3" t="s">
        <v>14</v>
      </c>
      <c r="C16" s="9" t="s">
        <v>485</v>
      </c>
      <c r="D16" s="3" t="s">
        <v>31</v>
      </c>
      <c r="E16" s="3" t="s">
        <v>556</v>
      </c>
      <c r="F16" s="3" t="s">
        <v>557</v>
      </c>
      <c r="G16" s="12">
        <v>16178</v>
      </c>
      <c r="H16" s="12">
        <v>1048</v>
      </c>
      <c r="I16" s="12">
        <v>871</v>
      </c>
      <c r="J16" s="12">
        <v>2553</v>
      </c>
      <c r="K16" s="13">
        <v>39025</v>
      </c>
      <c r="L16" s="12">
        <v>59508</v>
      </c>
      <c r="M16" s="3" t="s">
        <v>33</v>
      </c>
      <c r="N16" s="30">
        <f>(G16 + H16 + I16 ) / L16</f>
        <v>0.30411037171472743</v>
      </c>
    </row>
    <row r="17" spans="1:14" ht="14.25" customHeight="1">
      <c r="A17" s="3" t="s">
        <v>483</v>
      </c>
      <c r="B17" s="3" t="s">
        <v>20</v>
      </c>
      <c r="C17" s="9" t="s">
        <v>347</v>
      </c>
      <c r="D17" s="3" t="s">
        <v>22</v>
      </c>
      <c r="E17" s="3" t="s">
        <v>51</v>
      </c>
      <c r="F17" s="3"/>
      <c r="G17" s="12">
        <v>18282</v>
      </c>
      <c r="H17" s="12">
        <v>224</v>
      </c>
      <c r="I17" s="12">
        <v>962</v>
      </c>
      <c r="J17" s="12">
        <v>890</v>
      </c>
      <c r="K17" s="13">
        <v>35105</v>
      </c>
      <c r="L17" s="12">
        <v>64089</v>
      </c>
      <c r="M17" s="3" t="s">
        <v>24</v>
      </c>
      <c r="N17" s="30">
        <f>(G17 + H17 + I17 ) / L17</f>
        <v>0.30376507669022768</v>
      </c>
    </row>
    <row r="18" spans="1:14" ht="14.25" customHeight="1">
      <c r="A18" s="3" t="s">
        <v>482</v>
      </c>
      <c r="B18" s="3" t="s">
        <v>44</v>
      </c>
      <c r="C18" s="9" t="s">
        <v>259</v>
      </c>
      <c r="D18" s="3" t="s">
        <v>35</v>
      </c>
      <c r="E18" s="3" t="s">
        <v>547</v>
      </c>
      <c r="F18" s="3" t="s">
        <v>548</v>
      </c>
      <c r="G18" s="12">
        <v>14891</v>
      </c>
      <c r="H18" s="12">
        <v>674</v>
      </c>
      <c r="I18" s="12">
        <v>521</v>
      </c>
      <c r="J18" s="12">
        <v>1091</v>
      </c>
      <c r="K18" s="13">
        <v>18101</v>
      </c>
      <c r="L18" s="12">
        <v>53669</v>
      </c>
      <c r="M18" s="3" t="s">
        <v>33</v>
      </c>
      <c r="N18" s="30">
        <f>(G18 + H18 + I18 ) / L18</f>
        <v>0.29972609886526674</v>
      </c>
    </row>
    <row r="19" spans="1:14" ht="14.25" customHeight="1">
      <c r="A19" s="3" t="s">
        <v>480</v>
      </c>
      <c r="B19" s="3" t="s">
        <v>44</v>
      </c>
      <c r="C19" s="9" t="s">
        <v>481</v>
      </c>
      <c r="D19" s="3" t="s">
        <v>16</v>
      </c>
      <c r="E19" s="3" t="s">
        <v>88</v>
      </c>
      <c r="F19" s="3"/>
      <c r="G19" s="12">
        <v>17781</v>
      </c>
      <c r="H19" s="12">
        <v>993</v>
      </c>
      <c r="I19" s="12">
        <v>627</v>
      </c>
      <c r="J19" s="12">
        <v>2187</v>
      </c>
      <c r="K19" s="13">
        <v>9609</v>
      </c>
      <c r="L19" s="12">
        <v>66155</v>
      </c>
      <c r="M19" s="3" t="s">
        <v>24</v>
      </c>
      <c r="N19" s="30">
        <f>(G19 + H19 + I19 ) / L19</f>
        <v>0.29326581513113142</v>
      </c>
    </row>
    <row r="20" spans="1:14" ht="14.25" customHeight="1">
      <c r="A20" s="3" t="s">
        <v>479</v>
      </c>
      <c r="B20" s="3" t="s">
        <v>62</v>
      </c>
      <c r="C20" s="10">
        <v>45918</v>
      </c>
      <c r="D20" s="3" t="s">
        <v>35</v>
      </c>
      <c r="E20" s="3" t="s">
        <v>51</v>
      </c>
      <c r="F20" s="3"/>
      <c r="G20" s="12">
        <v>10152</v>
      </c>
      <c r="H20" s="12">
        <v>1445</v>
      </c>
      <c r="I20" s="12">
        <v>526</v>
      </c>
      <c r="J20" s="12">
        <v>513</v>
      </c>
      <c r="K20" s="13">
        <v>18959</v>
      </c>
      <c r="L20" s="12">
        <v>43712</v>
      </c>
      <c r="M20" s="3" t="s">
        <v>37</v>
      </c>
      <c r="N20" s="30">
        <f>(G20 + H20 + I20 ) / L20</f>
        <v>0.27733803074670571</v>
      </c>
    </row>
    <row r="21" spans="1:14" ht="14.25" customHeight="1">
      <c r="A21" s="3" t="s">
        <v>478</v>
      </c>
      <c r="B21" s="3" t="s">
        <v>44</v>
      </c>
      <c r="C21" s="10">
        <v>45932</v>
      </c>
      <c r="D21" s="3" t="s">
        <v>16</v>
      </c>
      <c r="E21" s="3" t="s">
        <v>558</v>
      </c>
      <c r="F21" s="3" t="s">
        <v>559</v>
      </c>
      <c r="G21" s="12">
        <v>12161</v>
      </c>
      <c r="H21" s="12">
        <v>736</v>
      </c>
      <c r="I21" s="12">
        <v>876</v>
      </c>
      <c r="J21" s="12">
        <v>1233</v>
      </c>
      <c r="K21" s="13">
        <v>21337</v>
      </c>
      <c r="L21" s="12">
        <v>50225</v>
      </c>
      <c r="M21" s="3" t="s">
        <v>37</v>
      </c>
      <c r="N21" s="30">
        <f>(G21 + H21 + I21 ) / L21</f>
        <v>0.27422598307615731</v>
      </c>
    </row>
    <row r="22" spans="1:14" ht="14.25" customHeight="1">
      <c r="A22" s="3" t="s">
        <v>477</v>
      </c>
      <c r="B22" s="3" t="s">
        <v>20</v>
      </c>
      <c r="C22" s="10">
        <v>45904</v>
      </c>
      <c r="D22" s="3" t="s">
        <v>22</v>
      </c>
      <c r="E22" s="3" t="s">
        <v>549</v>
      </c>
      <c r="F22" s="3" t="s">
        <v>550</v>
      </c>
      <c r="G22" s="12">
        <v>21708</v>
      </c>
      <c r="H22" s="12">
        <v>435</v>
      </c>
      <c r="I22" s="12">
        <v>317</v>
      </c>
      <c r="J22" s="12">
        <v>1213</v>
      </c>
      <c r="K22" s="13">
        <v>23275</v>
      </c>
      <c r="L22" s="12">
        <v>83585</v>
      </c>
      <c r="M22" s="3" t="s">
        <v>37</v>
      </c>
      <c r="N22" s="30">
        <f>(G22 + H22 + I22 ) / L22</f>
        <v>0.26870850032900639</v>
      </c>
    </row>
    <row r="23" spans="1:14" ht="14.25" customHeight="1">
      <c r="A23" s="3" t="s">
        <v>476</v>
      </c>
      <c r="B23" s="3" t="s">
        <v>14</v>
      </c>
      <c r="C23" s="9" t="s">
        <v>467</v>
      </c>
      <c r="D23" s="3" t="s">
        <v>31</v>
      </c>
      <c r="E23" s="3" t="s">
        <v>549</v>
      </c>
      <c r="F23" s="3" t="s">
        <v>550</v>
      </c>
      <c r="G23" s="12">
        <v>14173</v>
      </c>
      <c r="H23" s="12">
        <v>294</v>
      </c>
      <c r="I23" s="12">
        <v>257</v>
      </c>
      <c r="J23" s="12">
        <v>1288</v>
      </c>
      <c r="K23" s="13">
        <v>39466</v>
      </c>
      <c r="L23" s="12">
        <v>55563</v>
      </c>
      <c r="M23" s="3" t="s">
        <v>18</v>
      </c>
      <c r="N23" s="30">
        <f>(G23 + H23 + I23 ) / L23</f>
        <v>0.26499649047027696</v>
      </c>
    </row>
    <row r="24" spans="1:14" ht="14.25" customHeight="1">
      <c r="A24" s="3" t="s">
        <v>474</v>
      </c>
      <c r="B24" s="3" t="s">
        <v>14</v>
      </c>
      <c r="C24" s="9" t="s">
        <v>475</v>
      </c>
      <c r="D24" s="3" t="s">
        <v>22</v>
      </c>
      <c r="E24" s="3" t="s">
        <v>560</v>
      </c>
      <c r="F24" s="3" t="s">
        <v>88</v>
      </c>
      <c r="G24" s="12">
        <v>16124</v>
      </c>
      <c r="H24" s="12">
        <v>863</v>
      </c>
      <c r="I24" s="12">
        <v>337</v>
      </c>
      <c r="J24" s="12">
        <v>819</v>
      </c>
      <c r="K24" s="13">
        <v>85788</v>
      </c>
      <c r="L24" s="12">
        <v>68625</v>
      </c>
      <c r="M24" s="3" t="s">
        <v>24</v>
      </c>
      <c r="N24" s="30">
        <f>(G24 + H24 + I24 ) / L24</f>
        <v>0.25244444444444447</v>
      </c>
    </row>
    <row r="25" spans="1:14" ht="14.25" customHeight="1">
      <c r="A25" s="3" t="s">
        <v>472</v>
      </c>
      <c r="B25" s="3" t="s">
        <v>20</v>
      </c>
      <c r="C25" s="9" t="s">
        <v>473</v>
      </c>
      <c r="D25" s="3" t="s">
        <v>22</v>
      </c>
      <c r="E25" s="3" t="s">
        <v>556</v>
      </c>
      <c r="F25" s="3" t="s">
        <v>557</v>
      </c>
      <c r="G25" s="12">
        <v>14199</v>
      </c>
      <c r="H25" s="12">
        <v>1206</v>
      </c>
      <c r="I25" s="12">
        <v>954</v>
      </c>
      <c r="J25" s="12">
        <v>2009</v>
      </c>
      <c r="K25" s="13">
        <v>8</v>
      </c>
      <c r="L25" s="12">
        <v>65537</v>
      </c>
      <c r="M25" s="3" t="s">
        <v>28</v>
      </c>
      <c r="N25" s="30">
        <f>(G25 + H25 + I25 ) / L25</f>
        <v>0.24961472145505592</v>
      </c>
    </row>
    <row r="26" spans="1:14" ht="14.25" customHeight="1">
      <c r="A26" s="3" t="s">
        <v>471</v>
      </c>
      <c r="B26" s="3" t="s">
        <v>62</v>
      </c>
      <c r="C26" s="10">
        <v>45908</v>
      </c>
      <c r="D26" s="3" t="s">
        <v>16</v>
      </c>
      <c r="E26" s="3" t="s">
        <v>560</v>
      </c>
      <c r="F26" s="3" t="s">
        <v>88</v>
      </c>
      <c r="G26" s="12">
        <v>22309</v>
      </c>
      <c r="H26" s="12">
        <v>773</v>
      </c>
      <c r="I26" s="12">
        <v>854</v>
      </c>
      <c r="J26" s="12">
        <v>2387</v>
      </c>
      <c r="K26" s="13">
        <v>72396</v>
      </c>
      <c r="L26" s="12">
        <v>97056</v>
      </c>
      <c r="M26" s="3" t="s">
        <v>37</v>
      </c>
      <c r="N26" s="30">
        <f>(G26 + H26 + I26 ) / L26</f>
        <v>0.24662050774810418</v>
      </c>
    </row>
    <row r="27" spans="1:14" ht="14.25" customHeight="1">
      <c r="A27" s="3" t="s">
        <v>470</v>
      </c>
      <c r="B27" s="3" t="s">
        <v>44</v>
      </c>
      <c r="C27" s="10">
        <v>45913</v>
      </c>
      <c r="D27" s="3" t="s">
        <v>22</v>
      </c>
      <c r="E27" s="3" t="s">
        <v>560</v>
      </c>
      <c r="F27" s="3" t="s">
        <v>88</v>
      </c>
      <c r="G27" s="12">
        <v>15046</v>
      </c>
      <c r="H27" s="12">
        <v>281</v>
      </c>
      <c r="I27" s="12">
        <v>515</v>
      </c>
      <c r="J27" s="12">
        <v>550</v>
      </c>
      <c r="K27" s="13">
        <v>22583</v>
      </c>
      <c r="L27" s="12">
        <v>64596</v>
      </c>
      <c r="M27" s="3" t="s">
        <v>37</v>
      </c>
      <c r="N27" s="30">
        <f>(G27 + H27 + I27 ) / L27</f>
        <v>0.24524738373893121</v>
      </c>
    </row>
    <row r="28" spans="1:14" ht="14.25" customHeight="1">
      <c r="A28" s="3" t="s">
        <v>469</v>
      </c>
      <c r="B28" s="3" t="s">
        <v>62</v>
      </c>
      <c r="C28" s="9" t="s">
        <v>124</v>
      </c>
      <c r="D28" s="3" t="s">
        <v>16</v>
      </c>
      <c r="E28" s="3" t="s">
        <v>88</v>
      </c>
      <c r="F28" s="3"/>
      <c r="G28" s="12">
        <v>17254</v>
      </c>
      <c r="H28" s="12">
        <v>246</v>
      </c>
      <c r="I28" s="12">
        <v>952</v>
      </c>
      <c r="J28" s="12">
        <v>871</v>
      </c>
      <c r="K28" s="13">
        <v>14957</v>
      </c>
      <c r="L28" s="12">
        <v>75946</v>
      </c>
      <c r="M28" s="3" t="s">
        <v>18</v>
      </c>
      <c r="N28" s="30">
        <f>(G28 + H28 + I28 ) / L28</f>
        <v>0.24296210465330631</v>
      </c>
    </row>
    <row r="29" spans="1:14" ht="14.25" customHeight="1">
      <c r="A29" s="3" t="s">
        <v>468</v>
      </c>
      <c r="B29" s="3" t="s">
        <v>44</v>
      </c>
      <c r="C29" s="9" t="s">
        <v>57</v>
      </c>
      <c r="D29" s="3" t="s">
        <v>35</v>
      </c>
      <c r="E29" s="3" t="s">
        <v>549</v>
      </c>
      <c r="F29" s="3" t="s">
        <v>550</v>
      </c>
      <c r="G29" s="12">
        <v>22590</v>
      </c>
      <c r="H29" s="12">
        <v>1462</v>
      </c>
      <c r="I29" s="12">
        <v>966</v>
      </c>
      <c r="J29" s="12">
        <v>2463</v>
      </c>
      <c r="K29" s="13">
        <v>29689</v>
      </c>
      <c r="L29" s="12">
        <v>103449</v>
      </c>
      <c r="M29" s="3" t="s">
        <v>28</v>
      </c>
      <c r="N29" s="30">
        <f>(G29 + H29 + I29 ) / L29</f>
        <v>0.24183897379385011</v>
      </c>
    </row>
    <row r="30" spans="1:14" ht="14.25" customHeight="1">
      <c r="A30" s="3" t="s">
        <v>466</v>
      </c>
      <c r="B30" s="3" t="s">
        <v>20</v>
      </c>
      <c r="C30" s="9" t="s">
        <v>467</v>
      </c>
      <c r="D30" s="3" t="s">
        <v>16</v>
      </c>
      <c r="E30" s="3" t="s">
        <v>554</v>
      </c>
      <c r="F30" s="3" t="s">
        <v>555</v>
      </c>
      <c r="G30" s="12">
        <v>23164</v>
      </c>
      <c r="H30" s="12">
        <v>1122</v>
      </c>
      <c r="I30" s="12">
        <v>900</v>
      </c>
      <c r="J30" s="12">
        <v>888</v>
      </c>
      <c r="K30" s="13">
        <v>36938</v>
      </c>
      <c r="L30" s="12">
        <v>104674</v>
      </c>
      <c r="M30" s="3" t="s">
        <v>33</v>
      </c>
      <c r="N30" s="30">
        <f>(G30 + H30 + I30 ) / L30</f>
        <v>0.24061371496264594</v>
      </c>
    </row>
    <row r="31" spans="1:14" ht="14.25" customHeight="1">
      <c r="A31" s="3" t="s">
        <v>465</v>
      </c>
      <c r="B31" s="3" t="s">
        <v>14</v>
      </c>
      <c r="C31" s="10">
        <v>45905</v>
      </c>
      <c r="D31" s="3" t="s">
        <v>31</v>
      </c>
      <c r="E31" s="3" t="s">
        <v>88</v>
      </c>
      <c r="F31" s="3"/>
      <c r="G31" s="12">
        <v>14677</v>
      </c>
      <c r="H31" s="12">
        <v>533</v>
      </c>
      <c r="I31" s="12">
        <v>759</v>
      </c>
      <c r="J31" s="12">
        <v>753</v>
      </c>
      <c r="K31" s="13">
        <v>23275</v>
      </c>
      <c r="L31" s="12">
        <v>66958</v>
      </c>
      <c r="M31" s="3" t="s">
        <v>37</v>
      </c>
      <c r="N31" s="30">
        <f>(G31 + H31 + I31 ) / L31</f>
        <v>0.23849278652289496</v>
      </c>
    </row>
    <row r="32" spans="1:14" ht="14.25" customHeight="1">
      <c r="A32" s="3" t="s">
        <v>464</v>
      </c>
      <c r="B32" s="3" t="s">
        <v>44</v>
      </c>
      <c r="C32" s="9" t="s">
        <v>15</v>
      </c>
      <c r="D32" s="3" t="s">
        <v>16</v>
      </c>
      <c r="E32" s="3" t="s">
        <v>547</v>
      </c>
      <c r="F32" s="3" t="s">
        <v>548</v>
      </c>
      <c r="G32" s="12">
        <v>18644</v>
      </c>
      <c r="H32" s="12">
        <v>1369</v>
      </c>
      <c r="I32" s="12">
        <v>887</v>
      </c>
      <c r="J32" s="12">
        <v>1256</v>
      </c>
      <c r="K32" s="13">
        <v>43415</v>
      </c>
      <c r="L32" s="12">
        <v>88368</v>
      </c>
      <c r="M32" s="3" t="s">
        <v>28</v>
      </c>
      <c r="N32" s="30">
        <f>(G32 + H32 + I32 ) / L32</f>
        <v>0.23651095419156257</v>
      </c>
    </row>
    <row r="33" spans="1:14" ht="14.25" customHeight="1">
      <c r="A33" s="3" t="s">
        <v>463</v>
      </c>
      <c r="B33" s="3" t="s">
        <v>44</v>
      </c>
      <c r="C33" s="9" t="s">
        <v>417</v>
      </c>
      <c r="D33" s="3" t="s">
        <v>22</v>
      </c>
      <c r="E33" s="3" t="s">
        <v>558</v>
      </c>
      <c r="F33" s="3" t="s">
        <v>559</v>
      </c>
      <c r="G33" s="12">
        <v>24890</v>
      </c>
      <c r="H33" s="12">
        <v>217</v>
      </c>
      <c r="I33" s="12">
        <v>178</v>
      </c>
      <c r="J33" s="12">
        <v>906</v>
      </c>
      <c r="K33" s="13">
        <v>54826</v>
      </c>
      <c r="L33" s="12">
        <v>107203</v>
      </c>
      <c r="M33" s="3" t="s">
        <v>28</v>
      </c>
      <c r="N33" s="30">
        <f>(G33 + H33 + I33 ) / L33</f>
        <v>0.23586093672751696</v>
      </c>
    </row>
    <row r="34" spans="1:14" ht="14.25" customHeight="1">
      <c r="A34" s="3" t="s">
        <v>461</v>
      </c>
      <c r="B34" s="3" t="s">
        <v>20</v>
      </c>
      <c r="C34" s="9" t="s">
        <v>462</v>
      </c>
      <c r="D34" s="3" t="s">
        <v>16</v>
      </c>
      <c r="E34" s="3" t="s">
        <v>51</v>
      </c>
      <c r="F34" s="3"/>
      <c r="G34" s="12">
        <v>16489</v>
      </c>
      <c r="H34" s="12">
        <v>395</v>
      </c>
      <c r="I34" s="12">
        <v>350</v>
      </c>
      <c r="J34" s="12">
        <v>2364</v>
      </c>
      <c r="K34" s="13">
        <v>43239</v>
      </c>
      <c r="L34" s="12">
        <v>73397</v>
      </c>
      <c r="M34" s="3" t="s">
        <v>18</v>
      </c>
      <c r="N34" s="30">
        <f>(G34 + H34 + I34 ) / L34</f>
        <v>0.23480523727127811</v>
      </c>
    </row>
    <row r="35" spans="1:14" ht="14.25" customHeight="1">
      <c r="A35" s="3" t="s">
        <v>460</v>
      </c>
      <c r="B35" s="3" t="s">
        <v>20</v>
      </c>
      <c r="C35" s="10">
        <v>45919</v>
      </c>
      <c r="D35" s="3" t="s">
        <v>35</v>
      </c>
      <c r="E35" s="3" t="s">
        <v>554</v>
      </c>
      <c r="F35" s="3" t="s">
        <v>555</v>
      </c>
      <c r="G35" s="12">
        <v>22128</v>
      </c>
      <c r="H35" s="12">
        <v>1004</v>
      </c>
      <c r="I35" s="12">
        <v>690</v>
      </c>
      <c r="J35" s="12">
        <v>2048</v>
      </c>
      <c r="K35" s="13">
        <v>19443</v>
      </c>
      <c r="L35" s="12">
        <v>103646</v>
      </c>
      <c r="M35" s="3" t="s">
        <v>37</v>
      </c>
      <c r="N35" s="30">
        <f>(G35 + H35 + I35 ) / L35</f>
        <v>0.22984003241803833</v>
      </c>
    </row>
    <row r="36" spans="1:14" ht="14.25" customHeight="1">
      <c r="A36" s="3" t="s">
        <v>458</v>
      </c>
      <c r="B36" s="3" t="s">
        <v>62</v>
      </c>
      <c r="C36" s="9" t="s">
        <v>459</v>
      </c>
      <c r="D36" s="3" t="s">
        <v>16</v>
      </c>
      <c r="E36" s="3" t="s">
        <v>561</v>
      </c>
      <c r="F36" s="3" t="s">
        <v>551</v>
      </c>
      <c r="G36" s="12">
        <v>21856</v>
      </c>
      <c r="H36" s="12">
        <v>1203</v>
      </c>
      <c r="I36" s="12">
        <v>634</v>
      </c>
      <c r="J36" s="12">
        <v>2807</v>
      </c>
      <c r="K36" s="13">
        <v>3647</v>
      </c>
      <c r="L36" s="12">
        <v>104178</v>
      </c>
      <c r="M36" s="3" t="s">
        <v>24</v>
      </c>
      <c r="N36" s="30">
        <f>(G36 + H36 + I36 ) / L36</f>
        <v>0.22742805582752595</v>
      </c>
    </row>
    <row r="37" spans="1:14" ht="14.25" customHeight="1">
      <c r="A37" s="3" t="s">
        <v>456</v>
      </c>
      <c r="B37" s="3" t="s">
        <v>14</v>
      </c>
      <c r="C37" s="9" t="s">
        <v>457</v>
      </c>
      <c r="D37" s="3" t="s">
        <v>16</v>
      </c>
      <c r="E37" s="3" t="s">
        <v>562</v>
      </c>
      <c r="F37" s="3" t="s">
        <v>563</v>
      </c>
      <c r="G37" s="12">
        <v>20290</v>
      </c>
      <c r="H37" s="12">
        <v>619</v>
      </c>
      <c r="I37" s="12">
        <v>927</v>
      </c>
      <c r="J37" s="12">
        <v>1186</v>
      </c>
      <c r="K37" s="13">
        <v>8924</v>
      </c>
      <c r="L37" s="12">
        <v>96503</v>
      </c>
      <c r="M37" s="3" t="s">
        <v>18</v>
      </c>
      <c r="N37" s="30">
        <f>(G37 + H37 + I37 ) / L37</f>
        <v>0.22627275835984373</v>
      </c>
    </row>
    <row r="38" spans="1:14" ht="14.25" customHeight="1">
      <c r="A38" s="3" t="s">
        <v>455</v>
      </c>
      <c r="B38" s="3" t="s">
        <v>62</v>
      </c>
      <c r="C38" s="9" t="s">
        <v>203</v>
      </c>
      <c r="D38" s="3" t="s">
        <v>16</v>
      </c>
      <c r="E38" s="3" t="s">
        <v>560</v>
      </c>
      <c r="F38" s="3" t="s">
        <v>88</v>
      </c>
      <c r="G38" s="12">
        <v>15013</v>
      </c>
      <c r="H38" s="12">
        <v>1286</v>
      </c>
      <c r="I38" s="12">
        <v>599</v>
      </c>
      <c r="J38" s="12">
        <v>2001</v>
      </c>
      <c r="K38" s="13">
        <v>67839</v>
      </c>
      <c r="L38" s="12">
        <v>76059</v>
      </c>
      <c r="M38" s="3" t="s">
        <v>33</v>
      </c>
      <c r="N38" s="30">
        <f>(G38 + H38 + I38 ) / L38</f>
        <v>0.22216963147030594</v>
      </c>
    </row>
    <row r="39" spans="1:14" ht="14.25" customHeight="1">
      <c r="A39" s="3" t="s">
        <v>453</v>
      </c>
      <c r="B39" s="3" t="s">
        <v>14</v>
      </c>
      <c r="C39" s="9" t="s">
        <v>454</v>
      </c>
      <c r="D39" s="3" t="s">
        <v>35</v>
      </c>
      <c r="E39" s="3" t="s">
        <v>551</v>
      </c>
      <c r="F39" s="3" t="s">
        <v>552</v>
      </c>
      <c r="G39" s="12">
        <v>17444</v>
      </c>
      <c r="H39" s="12">
        <v>1402</v>
      </c>
      <c r="I39" s="12">
        <v>218</v>
      </c>
      <c r="J39" s="12">
        <v>725</v>
      </c>
      <c r="K39" s="13">
        <v>8710</v>
      </c>
      <c r="L39" s="12">
        <v>85893</v>
      </c>
      <c r="M39" s="3" t="s">
        <v>18</v>
      </c>
      <c r="N39" s="30">
        <f>(G39 + H39 + I39 ) / L39</f>
        <v>0.22195056640238436</v>
      </c>
    </row>
    <row r="40" spans="1:14" ht="14.25" customHeight="1">
      <c r="A40" s="3" t="s">
        <v>452</v>
      </c>
      <c r="B40" s="3" t="s">
        <v>62</v>
      </c>
      <c r="C40" s="9" t="s">
        <v>312</v>
      </c>
      <c r="D40" s="3" t="s">
        <v>35</v>
      </c>
      <c r="E40" s="3" t="s">
        <v>562</v>
      </c>
      <c r="F40" s="3" t="s">
        <v>563</v>
      </c>
      <c r="G40" s="12">
        <v>7870</v>
      </c>
      <c r="H40" s="12">
        <v>968</v>
      </c>
      <c r="I40" s="12">
        <v>626</v>
      </c>
      <c r="J40" s="12">
        <v>465</v>
      </c>
      <c r="K40" s="13">
        <v>27184</v>
      </c>
      <c r="L40" s="12">
        <v>44114</v>
      </c>
      <c r="M40" s="3" t="s">
        <v>18</v>
      </c>
      <c r="N40" s="30">
        <f>(G40 + H40 + I40 ) / L40</f>
        <v>0.2145350682323072</v>
      </c>
    </row>
    <row r="41" spans="1:14" ht="14.25" customHeight="1">
      <c r="A41" s="3" t="s">
        <v>451</v>
      </c>
      <c r="B41" s="3" t="s">
        <v>62</v>
      </c>
      <c r="C41" s="9" t="s">
        <v>224</v>
      </c>
      <c r="D41" s="3" t="s">
        <v>31</v>
      </c>
      <c r="E41" s="3" t="s">
        <v>547</v>
      </c>
      <c r="F41" s="3" t="s">
        <v>548</v>
      </c>
      <c r="G41" s="12">
        <v>21729</v>
      </c>
      <c r="H41" s="12">
        <v>1209</v>
      </c>
      <c r="I41" s="12">
        <v>897</v>
      </c>
      <c r="J41" s="12">
        <v>1624</v>
      </c>
      <c r="K41" s="13">
        <v>38771</v>
      </c>
      <c r="L41" s="12">
        <v>113297</v>
      </c>
      <c r="M41" s="3" t="s">
        <v>24</v>
      </c>
      <c r="N41" s="30">
        <f>(G41 + H41 + I41 ) / L41</f>
        <v>0.21037626768581694</v>
      </c>
    </row>
    <row r="42" spans="1:14" ht="14.25" customHeight="1">
      <c r="A42" s="3" t="s">
        <v>450</v>
      </c>
      <c r="B42" s="3" t="s">
        <v>62</v>
      </c>
      <c r="C42" s="10">
        <v>45915</v>
      </c>
      <c r="D42" s="3" t="s">
        <v>31</v>
      </c>
      <c r="E42" s="3" t="s">
        <v>547</v>
      </c>
      <c r="F42" s="3" t="s">
        <v>548</v>
      </c>
      <c r="G42" s="12">
        <v>18389</v>
      </c>
      <c r="H42" s="12">
        <v>670</v>
      </c>
      <c r="I42" s="12">
        <v>655</v>
      </c>
      <c r="J42" s="12">
        <v>321</v>
      </c>
      <c r="K42" s="13">
        <v>21869</v>
      </c>
      <c r="L42" s="12">
        <v>96088</v>
      </c>
      <c r="M42" s="3" t="s">
        <v>37</v>
      </c>
      <c r="N42" s="30">
        <f>(G42 + H42 + I42 ) / L42</f>
        <v>0.2051660977437349</v>
      </c>
    </row>
    <row r="43" spans="1:14" ht="14.25" customHeight="1">
      <c r="A43" s="3" t="s">
        <v>449</v>
      </c>
      <c r="B43" s="3" t="s">
        <v>62</v>
      </c>
      <c r="C43" s="9" t="s">
        <v>354</v>
      </c>
      <c r="D43" s="3" t="s">
        <v>16</v>
      </c>
      <c r="E43" s="3" t="s">
        <v>551</v>
      </c>
      <c r="F43" s="3" t="s">
        <v>553</v>
      </c>
      <c r="G43" s="12">
        <v>21198</v>
      </c>
      <c r="H43" s="12">
        <v>1484</v>
      </c>
      <c r="I43" s="12">
        <v>174</v>
      </c>
      <c r="J43" s="12">
        <v>1293</v>
      </c>
      <c r="K43" s="13">
        <v>16330</v>
      </c>
      <c r="L43" s="12">
        <v>111635</v>
      </c>
      <c r="M43" s="3" t="s">
        <v>24</v>
      </c>
      <c r="N43" s="30">
        <f>(G43 + H43 + I43 ) / L43</f>
        <v>0.20473865723115511</v>
      </c>
    </row>
    <row r="44" spans="1:14" ht="14.25" customHeight="1">
      <c r="A44" s="3" t="s">
        <v>447</v>
      </c>
      <c r="B44" s="3" t="s">
        <v>20</v>
      </c>
      <c r="C44" s="9" t="s">
        <v>448</v>
      </c>
      <c r="D44" s="3" t="s">
        <v>16</v>
      </c>
      <c r="E44" s="3" t="s">
        <v>551</v>
      </c>
      <c r="F44" s="3" t="s">
        <v>552</v>
      </c>
      <c r="G44" s="12">
        <v>12916</v>
      </c>
      <c r="H44" s="12">
        <v>1262</v>
      </c>
      <c r="I44" s="12">
        <v>772</v>
      </c>
      <c r="J44" s="12">
        <v>856</v>
      </c>
      <c r="K44" s="13">
        <v>11496</v>
      </c>
      <c r="L44" s="12">
        <v>75046</v>
      </c>
      <c r="M44" s="3" t="s">
        <v>28</v>
      </c>
      <c r="N44" s="30">
        <f>(G44 + H44 + I44 ) / L44</f>
        <v>0.19921115049436347</v>
      </c>
    </row>
    <row r="45" spans="1:14" ht="14.25" customHeight="1">
      <c r="A45" s="3" t="s">
        <v>445</v>
      </c>
      <c r="B45" s="3" t="s">
        <v>62</v>
      </c>
      <c r="C45" s="9" t="s">
        <v>446</v>
      </c>
      <c r="D45" s="3" t="s">
        <v>16</v>
      </c>
      <c r="E45" s="3" t="s">
        <v>561</v>
      </c>
      <c r="F45" s="3" t="s">
        <v>551</v>
      </c>
      <c r="G45" s="12">
        <v>19447</v>
      </c>
      <c r="H45" s="12">
        <v>1014</v>
      </c>
      <c r="I45" s="12">
        <v>256</v>
      </c>
      <c r="J45" s="12">
        <v>2354</v>
      </c>
      <c r="K45" s="13">
        <v>5472</v>
      </c>
      <c r="L45" s="12">
        <v>104106</v>
      </c>
      <c r="M45" s="3" t="s">
        <v>33</v>
      </c>
      <c r="N45" s="30">
        <f>(G45 + H45 + I45 ) / L45</f>
        <v>0.19899909707413599</v>
      </c>
    </row>
    <row r="46" spans="1:14" ht="14.25" customHeight="1">
      <c r="A46" s="3" t="s">
        <v>443</v>
      </c>
      <c r="B46" s="3" t="s">
        <v>20</v>
      </c>
      <c r="C46" s="9" t="s">
        <v>444</v>
      </c>
      <c r="D46" s="3" t="s">
        <v>22</v>
      </c>
      <c r="E46" s="3" t="s">
        <v>556</v>
      </c>
      <c r="F46" s="3" t="s">
        <v>557</v>
      </c>
      <c r="G46" s="12">
        <v>15234</v>
      </c>
      <c r="H46" s="12">
        <v>1276</v>
      </c>
      <c r="I46" s="12">
        <v>670</v>
      </c>
      <c r="J46" s="12">
        <v>1860</v>
      </c>
      <c r="K46" s="13">
        <v>60397</v>
      </c>
      <c r="L46" s="12">
        <v>86413</v>
      </c>
      <c r="M46" s="3" t="s">
        <v>18</v>
      </c>
      <c r="N46" s="30">
        <f>(G46 + H46 + I46 ) / L46</f>
        <v>0.19881267864788862</v>
      </c>
    </row>
    <row r="47" spans="1:14" ht="14.25" customHeight="1">
      <c r="A47" s="3" t="s">
        <v>441</v>
      </c>
      <c r="B47" s="3" t="s">
        <v>62</v>
      </c>
      <c r="C47" s="9" t="s">
        <v>442</v>
      </c>
      <c r="D47" s="3" t="s">
        <v>16</v>
      </c>
      <c r="E47" s="3" t="s">
        <v>561</v>
      </c>
      <c r="F47" s="3" t="s">
        <v>551</v>
      </c>
      <c r="G47" s="12">
        <v>22645</v>
      </c>
      <c r="H47" s="12">
        <v>545</v>
      </c>
      <c r="I47" s="12">
        <v>972</v>
      </c>
      <c r="J47" s="12">
        <v>321</v>
      </c>
      <c r="K47" s="13">
        <v>8396</v>
      </c>
      <c r="L47" s="12">
        <v>121537</v>
      </c>
      <c r="M47" s="3" t="s">
        <v>18</v>
      </c>
      <c r="N47" s="30">
        <f>(G47 + H47 + I47 ) / L47</f>
        <v>0.19880365649966678</v>
      </c>
    </row>
    <row r="48" spans="1:14" ht="14.25" customHeight="1">
      <c r="A48" s="3" t="s">
        <v>439</v>
      </c>
      <c r="B48" s="3" t="s">
        <v>14</v>
      </c>
      <c r="C48" s="9" t="s">
        <v>440</v>
      </c>
      <c r="D48" s="3" t="s">
        <v>22</v>
      </c>
      <c r="E48" s="3" t="s">
        <v>549</v>
      </c>
      <c r="F48" s="3" t="s">
        <v>550</v>
      </c>
      <c r="G48" s="12">
        <v>15568</v>
      </c>
      <c r="H48" s="12">
        <v>1166</v>
      </c>
      <c r="I48" s="12">
        <v>546</v>
      </c>
      <c r="J48" s="12">
        <v>826</v>
      </c>
      <c r="K48" s="13">
        <v>21836</v>
      </c>
      <c r="L48" s="12">
        <v>87055</v>
      </c>
      <c r="M48" s="3" t="s">
        <v>33</v>
      </c>
      <c r="N48" s="30">
        <f>(G48 + H48 + I48 ) / L48</f>
        <v>0.19849520418126471</v>
      </c>
    </row>
    <row r="49" spans="1:14" ht="14.25" customHeight="1">
      <c r="A49" s="3" t="s">
        <v>438</v>
      </c>
      <c r="B49" s="3" t="s">
        <v>14</v>
      </c>
      <c r="C49" s="11">
        <v>45926</v>
      </c>
      <c r="D49" s="3" t="s">
        <v>22</v>
      </c>
      <c r="E49" s="3" t="s">
        <v>561</v>
      </c>
      <c r="F49" s="3" t="s">
        <v>551</v>
      </c>
      <c r="G49" s="12">
        <v>21216</v>
      </c>
      <c r="H49" s="12">
        <v>226</v>
      </c>
      <c r="I49" s="12">
        <v>187</v>
      </c>
      <c r="J49" s="12">
        <v>1573</v>
      </c>
      <c r="K49" s="13">
        <v>62688</v>
      </c>
      <c r="L49" s="12">
        <v>111031</v>
      </c>
      <c r="M49" s="3" t="s">
        <v>37</v>
      </c>
      <c r="N49" s="30">
        <f>(G49 + H49 + I49 ) / L49</f>
        <v>0.19480145184678152</v>
      </c>
    </row>
    <row r="50" spans="1:14" ht="14.25" customHeight="1">
      <c r="A50" s="3" t="s">
        <v>436</v>
      </c>
      <c r="B50" s="3" t="s">
        <v>44</v>
      </c>
      <c r="C50" s="9" t="s">
        <v>437</v>
      </c>
      <c r="D50" s="3" t="s">
        <v>22</v>
      </c>
      <c r="E50" s="3" t="s">
        <v>556</v>
      </c>
      <c r="F50" s="3" t="s">
        <v>557</v>
      </c>
      <c r="G50" s="12">
        <v>10427</v>
      </c>
      <c r="H50" s="12">
        <v>1014</v>
      </c>
      <c r="I50" s="12">
        <v>166</v>
      </c>
      <c r="J50" s="12">
        <v>1649</v>
      </c>
      <c r="K50" s="13">
        <v>15145</v>
      </c>
      <c r="L50" s="12">
        <v>59816</v>
      </c>
      <c r="M50" s="3" t="s">
        <v>28</v>
      </c>
      <c r="N50" s="30">
        <f>(G50 + H50 + I50 ) / L50</f>
        <v>0.19404507155276179</v>
      </c>
    </row>
    <row r="51" spans="1:14" ht="14.25" customHeight="1">
      <c r="A51" s="3" t="s">
        <v>435</v>
      </c>
      <c r="B51" s="3" t="s">
        <v>14</v>
      </c>
      <c r="C51" s="9" t="s">
        <v>102</v>
      </c>
      <c r="D51" s="3" t="s">
        <v>31</v>
      </c>
      <c r="E51" s="3" t="s">
        <v>554</v>
      </c>
      <c r="F51" s="3" t="s">
        <v>555</v>
      </c>
      <c r="G51" s="12">
        <v>13637</v>
      </c>
      <c r="H51" s="12">
        <v>1135</v>
      </c>
      <c r="I51" s="12">
        <v>540</v>
      </c>
      <c r="J51" s="12">
        <v>1288</v>
      </c>
      <c r="K51" s="13">
        <v>45183</v>
      </c>
      <c r="L51" s="12">
        <v>79062</v>
      </c>
      <c r="M51" s="3" t="s">
        <v>18</v>
      </c>
      <c r="N51" s="30">
        <f>(G51 + H51 + I51 ) / L51</f>
        <v>0.19367079001290127</v>
      </c>
    </row>
    <row r="52" spans="1:14" ht="14.25" customHeight="1">
      <c r="A52" s="3" t="s">
        <v>434</v>
      </c>
      <c r="B52" s="3" t="s">
        <v>14</v>
      </c>
      <c r="C52" s="9" t="s">
        <v>120</v>
      </c>
      <c r="D52" s="3" t="s">
        <v>31</v>
      </c>
      <c r="E52" s="3" t="s">
        <v>551</v>
      </c>
      <c r="F52" s="3" t="s">
        <v>553</v>
      </c>
      <c r="G52" s="12">
        <v>11911</v>
      </c>
      <c r="H52" s="12">
        <v>1360</v>
      </c>
      <c r="I52" s="12">
        <v>778</v>
      </c>
      <c r="J52" s="12">
        <v>1168</v>
      </c>
      <c r="K52" s="13">
        <v>16483</v>
      </c>
      <c r="L52" s="12">
        <v>72556</v>
      </c>
      <c r="M52" s="3" t="s">
        <v>28</v>
      </c>
      <c r="N52" s="30">
        <f>(G52 + H52 + I52 ) / L52</f>
        <v>0.19362974805667346</v>
      </c>
    </row>
    <row r="53" spans="1:14" ht="14.25" customHeight="1">
      <c r="A53" s="3" t="s">
        <v>432</v>
      </c>
      <c r="B53" s="3" t="s">
        <v>62</v>
      </c>
      <c r="C53" s="9" t="s">
        <v>433</v>
      </c>
      <c r="D53" s="3" t="s">
        <v>16</v>
      </c>
      <c r="E53" s="3" t="s">
        <v>562</v>
      </c>
      <c r="F53" s="3" t="s">
        <v>563</v>
      </c>
      <c r="G53" s="12">
        <v>6854</v>
      </c>
      <c r="H53" s="12">
        <v>417</v>
      </c>
      <c r="I53" s="12">
        <v>467</v>
      </c>
      <c r="J53" s="12">
        <v>1003</v>
      </c>
      <c r="K53" s="13">
        <v>61333</v>
      </c>
      <c r="L53" s="12">
        <v>40281</v>
      </c>
      <c r="M53" s="3" t="s">
        <v>33</v>
      </c>
      <c r="N53" s="30">
        <f>(G53 + H53 + I53 ) / L53</f>
        <v>0.19210049402944315</v>
      </c>
    </row>
    <row r="54" spans="1:14" ht="14.25" customHeight="1">
      <c r="A54" s="3" t="s">
        <v>431</v>
      </c>
      <c r="B54" s="3" t="s">
        <v>14</v>
      </c>
      <c r="C54" s="9" t="s">
        <v>367</v>
      </c>
      <c r="D54" s="3" t="s">
        <v>35</v>
      </c>
      <c r="E54" s="3" t="s">
        <v>561</v>
      </c>
      <c r="F54" s="3" t="s">
        <v>551</v>
      </c>
      <c r="G54" s="12">
        <v>24984</v>
      </c>
      <c r="H54" s="12">
        <v>753</v>
      </c>
      <c r="I54" s="12">
        <v>461</v>
      </c>
      <c r="J54" s="12">
        <v>2710</v>
      </c>
      <c r="K54" s="13">
        <v>20792</v>
      </c>
      <c r="L54" s="12">
        <v>141520</v>
      </c>
      <c r="M54" s="3" t="s">
        <v>28</v>
      </c>
      <c r="N54" s="30">
        <f>(G54 + H54 + I54 ) / L54</f>
        <v>0.18511871113623515</v>
      </c>
    </row>
    <row r="55" spans="1:14" ht="14.25" customHeight="1">
      <c r="A55" s="3" t="s">
        <v>430</v>
      </c>
      <c r="B55" s="3" t="s">
        <v>20</v>
      </c>
      <c r="C55" s="10">
        <v>45934</v>
      </c>
      <c r="D55" s="3" t="s">
        <v>22</v>
      </c>
      <c r="E55" s="3" t="s">
        <v>562</v>
      </c>
      <c r="F55" s="3" t="s">
        <v>563</v>
      </c>
      <c r="G55" s="12">
        <v>12488</v>
      </c>
      <c r="H55" s="12">
        <v>1403</v>
      </c>
      <c r="I55" s="12">
        <v>247</v>
      </c>
      <c r="J55" s="12">
        <v>1350</v>
      </c>
      <c r="K55" s="13">
        <v>28370</v>
      </c>
      <c r="L55" s="12">
        <v>76487</v>
      </c>
      <c r="M55" s="3" t="s">
        <v>37</v>
      </c>
      <c r="N55" s="30">
        <f>(G55 + H55 + I55 ) / L55</f>
        <v>0.18484186855282597</v>
      </c>
    </row>
    <row r="56" spans="1:14" ht="14.25" customHeight="1">
      <c r="A56" s="3" t="s">
        <v>429</v>
      </c>
      <c r="B56" s="3" t="s">
        <v>44</v>
      </c>
      <c r="C56" s="9" t="s">
        <v>259</v>
      </c>
      <c r="D56" s="3" t="s">
        <v>22</v>
      </c>
      <c r="E56" s="3" t="s">
        <v>88</v>
      </c>
      <c r="F56" s="3"/>
      <c r="G56" s="12">
        <v>12554</v>
      </c>
      <c r="H56" s="12">
        <v>381</v>
      </c>
      <c r="I56" s="12">
        <v>211</v>
      </c>
      <c r="J56" s="12">
        <v>2286</v>
      </c>
      <c r="K56" s="13">
        <v>50567</v>
      </c>
      <c r="L56" s="12">
        <v>72779</v>
      </c>
      <c r="M56" s="3" t="s">
        <v>33</v>
      </c>
      <c r="N56" s="30">
        <f>(G56 + H56 + I56 ) / L56</f>
        <v>0.18062902760411656</v>
      </c>
    </row>
    <row r="57" spans="1:14" ht="14.25" customHeight="1">
      <c r="A57" s="3" t="s">
        <v>428</v>
      </c>
      <c r="B57" s="3" t="s">
        <v>20</v>
      </c>
      <c r="C57" s="9" t="s">
        <v>96</v>
      </c>
      <c r="D57" s="3" t="s">
        <v>22</v>
      </c>
      <c r="E57" s="3" t="s">
        <v>561</v>
      </c>
      <c r="F57" s="3" t="s">
        <v>551</v>
      </c>
      <c r="G57" s="12">
        <v>20977</v>
      </c>
      <c r="H57" s="12">
        <v>1402</v>
      </c>
      <c r="I57" s="12">
        <v>301</v>
      </c>
      <c r="J57" s="12">
        <v>1284</v>
      </c>
      <c r="K57" s="13">
        <v>24620</v>
      </c>
      <c r="L57" s="12">
        <v>128009</v>
      </c>
      <c r="M57" s="3" t="s">
        <v>33</v>
      </c>
      <c r="N57" s="30">
        <f>(G57 + H57 + I57 ) / L57</f>
        <v>0.17717504237983267</v>
      </c>
    </row>
    <row r="58" spans="1:14" ht="14.25" customHeight="1">
      <c r="A58" s="3" t="s">
        <v>426</v>
      </c>
      <c r="B58" s="3" t="s">
        <v>20</v>
      </c>
      <c r="C58" s="9" t="s">
        <v>427</v>
      </c>
      <c r="D58" s="3" t="s">
        <v>35</v>
      </c>
      <c r="E58" s="3" t="s">
        <v>551</v>
      </c>
      <c r="F58" s="3" t="s">
        <v>552</v>
      </c>
      <c r="G58" s="12">
        <v>23969</v>
      </c>
      <c r="H58" s="12">
        <v>1433</v>
      </c>
      <c r="I58" s="12">
        <v>372</v>
      </c>
      <c r="J58" s="12">
        <v>1092</v>
      </c>
      <c r="K58" s="13">
        <v>32147</v>
      </c>
      <c r="L58" s="12">
        <v>145823</v>
      </c>
      <c r="M58" s="3" t="s">
        <v>28</v>
      </c>
      <c r="N58" s="30">
        <f>(G58 + H58 + I58 ) / L58</f>
        <v>0.17674852389540743</v>
      </c>
    </row>
    <row r="59" spans="1:14" ht="14.25" customHeight="1">
      <c r="A59" s="3" t="s">
        <v>425</v>
      </c>
      <c r="B59" s="3" t="s">
        <v>62</v>
      </c>
      <c r="C59" s="9" t="s">
        <v>189</v>
      </c>
      <c r="D59" s="3" t="s">
        <v>16</v>
      </c>
      <c r="E59" s="3" t="s">
        <v>551</v>
      </c>
      <c r="F59" s="3" t="s">
        <v>552</v>
      </c>
      <c r="G59" s="12">
        <v>8938</v>
      </c>
      <c r="H59" s="12">
        <v>800</v>
      </c>
      <c r="I59" s="12">
        <v>842</v>
      </c>
      <c r="J59" s="12">
        <v>2072</v>
      </c>
      <c r="K59" s="13">
        <v>31736</v>
      </c>
      <c r="L59" s="12">
        <v>59975</v>
      </c>
      <c r="M59" s="3" t="s">
        <v>24</v>
      </c>
      <c r="N59" s="30">
        <f>(G59 + H59 + I59 ) / L59</f>
        <v>0.17640683618174238</v>
      </c>
    </row>
    <row r="60" spans="1:14" ht="14.25" customHeight="1">
      <c r="A60" s="3" t="s">
        <v>423</v>
      </c>
      <c r="B60" s="3" t="s">
        <v>44</v>
      </c>
      <c r="C60" s="9" t="s">
        <v>424</v>
      </c>
      <c r="D60" s="3" t="s">
        <v>16</v>
      </c>
      <c r="E60" s="3" t="s">
        <v>549</v>
      </c>
      <c r="F60" s="3" t="s">
        <v>550</v>
      </c>
      <c r="G60" s="12">
        <v>8090</v>
      </c>
      <c r="H60" s="12">
        <v>570</v>
      </c>
      <c r="I60" s="12">
        <v>399</v>
      </c>
      <c r="J60" s="12">
        <v>1862</v>
      </c>
      <c r="K60" s="13">
        <v>34088</v>
      </c>
      <c r="L60" s="12">
        <v>52115</v>
      </c>
      <c r="M60" s="3" t="s">
        <v>33</v>
      </c>
      <c r="N60" s="30">
        <f>(G60 + H60 + I60 ) / L60</f>
        <v>0.17382711311522595</v>
      </c>
    </row>
    <row r="61" spans="1:14" ht="14.25" customHeight="1">
      <c r="A61" s="3" t="s">
        <v>422</v>
      </c>
      <c r="B61" s="3" t="s">
        <v>14</v>
      </c>
      <c r="C61" s="10">
        <v>45924</v>
      </c>
      <c r="D61" s="3" t="s">
        <v>35</v>
      </c>
      <c r="E61" s="3" t="s">
        <v>547</v>
      </c>
      <c r="F61" s="3" t="s">
        <v>548</v>
      </c>
      <c r="G61" s="12">
        <v>12209</v>
      </c>
      <c r="H61" s="12">
        <v>222</v>
      </c>
      <c r="I61" s="12">
        <v>479</v>
      </c>
      <c r="J61" s="12">
        <v>2748</v>
      </c>
      <c r="K61" s="13">
        <v>24615</v>
      </c>
      <c r="L61" s="12">
        <v>74707</v>
      </c>
      <c r="M61" s="3" t="s">
        <v>37</v>
      </c>
      <c r="N61" s="30">
        <f>(G61 + H61 + I61 ) / L61</f>
        <v>0.17280843829895459</v>
      </c>
    </row>
    <row r="62" spans="1:14" ht="14.25" customHeight="1">
      <c r="A62" s="3" t="s">
        <v>420</v>
      </c>
      <c r="B62" s="3" t="s">
        <v>14</v>
      </c>
      <c r="C62" s="9" t="s">
        <v>421</v>
      </c>
      <c r="D62" s="3" t="s">
        <v>22</v>
      </c>
      <c r="E62" s="3" t="s">
        <v>560</v>
      </c>
      <c r="F62" s="3" t="s">
        <v>88</v>
      </c>
      <c r="G62" s="12">
        <v>22562</v>
      </c>
      <c r="H62" s="12">
        <v>778</v>
      </c>
      <c r="I62" s="12">
        <v>907</v>
      </c>
      <c r="J62" s="12">
        <v>1354</v>
      </c>
      <c r="K62" s="13">
        <v>34475</v>
      </c>
      <c r="L62" s="12">
        <v>141459</v>
      </c>
      <c r="M62" s="3" t="s">
        <v>24</v>
      </c>
      <c r="N62" s="30">
        <f>(G62 + H62 + I62 ) / L62</f>
        <v>0.17140655596321194</v>
      </c>
    </row>
    <row r="63" spans="1:14" ht="14.25" customHeight="1">
      <c r="A63" s="3" t="s">
        <v>418</v>
      </c>
      <c r="B63" s="3" t="s">
        <v>14</v>
      </c>
      <c r="C63" s="9" t="s">
        <v>419</v>
      </c>
      <c r="D63" s="3" t="s">
        <v>22</v>
      </c>
      <c r="E63" s="3" t="s">
        <v>551</v>
      </c>
      <c r="F63" s="3" t="s">
        <v>553</v>
      </c>
      <c r="G63" s="12">
        <v>8233</v>
      </c>
      <c r="H63" s="12">
        <v>436</v>
      </c>
      <c r="I63" s="12">
        <v>269</v>
      </c>
      <c r="J63" s="12">
        <v>2037</v>
      </c>
      <c r="K63" s="13">
        <v>8875</v>
      </c>
      <c r="L63" s="12">
        <v>52289</v>
      </c>
      <c r="M63" s="3" t="s">
        <v>33</v>
      </c>
      <c r="N63" s="30">
        <f>(G63 + H63 + I63 ) / L63</f>
        <v>0.17093461339861157</v>
      </c>
    </row>
    <row r="64" spans="1:14" ht="14.25" customHeight="1">
      <c r="A64" s="3" t="s">
        <v>416</v>
      </c>
      <c r="B64" s="3" t="s">
        <v>14</v>
      </c>
      <c r="C64" s="9" t="s">
        <v>417</v>
      </c>
      <c r="D64" s="3" t="s">
        <v>35</v>
      </c>
      <c r="E64" s="3" t="s">
        <v>560</v>
      </c>
      <c r="F64" s="3" t="s">
        <v>88</v>
      </c>
      <c r="G64" s="12">
        <v>22527</v>
      </c>
      <c r="H64" s="12">
        <v>865</v>
      </c>
      <c r="I64" s="12">
        <v>646</v>
      </c>
      <c r="J64" s="12">
        <v>992</v>
      </c>
      <c r="K64" s="13">
        <v>18654</v>
      </c>
      <c r="L64" s="12">
        <v>141376</v>
      </c>
      <c r="M64" s="3" t="s">
        <v>18</v>
      </c>
      <c r="N64" s="30">
        <f>(G64 + H64 + I64 ) / L64</f>
        <v>0.17002885921231325</v>
      </c>
    </row>
    <row r="65" spans="1:14" ht="14.25" customHeight="1">
      <c r="A65" s="3" t="s">
        <v>414</v>
      </c>
      <c r="B65" s="3" t="s">
        <v>62</v>
      </c>
      <c r="C65" s="9" t="s">
        <v>415</v>
      </c>
      <c r="D65" s="3" t="s">
        <v>16</v>
      </c>
      <c r="E65" s="3" t="s">
        <v>556</v>
      </c>
      <c r="F65" s="3" t="s">
        <v>557</v>
      </c>
      <c r="G65" s="12">
        <v>14394</v>
      </c>
      <c r="H65" s="12">
        <v>1202</v>
      </c>
      <c r="I65" s="12">
        <v>188</v>
      </c>
      <c r="J65" s="12">
        <v>1259</v>
      </c>
      <c r="K65" s="13">
        <v>21925</v>
      </c>
      <c r="L65" s="12">
        <v>94061</v>
      </c>
      <c r="M65" s="3" t="s">
        <v>24</v>
      </c>
      <c r="N65" s="30">
        <f>(G65 + H65 + I65 ) / L65</f>
        <v>0.1678059982351878</v>
      </c>
    </row>
    <row r="66" spans="1:14" ht="14.25" customHeight="1">
      <c r="A66" s="3" t="s">
        <v>413</v>
      </c>
      <c r="B66" s="3" t="s">
        <v>14</v>
      </c>
      <c r="C66" s="10">
        <v>45921</v>
      </c>
      <c r="D66" s="3" t="s">
        <v>31</v>
      </c>
      <c r="E66" s="3" t="s">
        <v>562</v>
      </c>
      <c r="F66" s="3" t="s">
        <v>563</v>
      </c>
      <c r="G66" s="12">
        <v>19680</v>
      </c>
      <c r="H66" s="12">
        <v>999</v>
      </c>
      <c r="I66" s="12">
        <v>838</v>
      </c>
      <c r="J66" s="12">
        <v>891</v>
      </c>
      <c r="K66" s="13">
        <v>29576</v>
      </c>
      <c r="L66" s="12">
        <v>129152</v>
      </c>
      <c r="M66" s="3" t="s">
        <v>37</v>
      </c>
      <c r="N66" s="30">
        <f>(G66 + H66 + I66 ) / L66</f>
        <v>0.16660214321110009</v>
      </c>
    </row>
    <row r="67" spans="1:14" ht="14.25" customHeight="1">
      <c r="A67" s="3" t="s">
        <v>412</v>
      </c>
      <c r="B67" s="3" t="s">
        <v>44</v>
      </c>
      <c r="C67" s="10">
        <v>45921</v>
      </c>
      <c r="D67" s="3" t="s">
        <v>22</v>
      </c>
      <c r="E67" s="3" t="s">
        <v>549</v>
      </c>
      <c r="F67" s="3" t="s">
        <v>550</v>
      </c>
      <c r="G67" s="12">
        <v>23103</v>
      </c>
      <c r="H67" s="12">
        <v>1380</v>
      </c>
      <c r="I67" s="12">
        <v>191</v>
      </c>
      <c r="J67" s="12">
        <v>1547</v>
      </c>
      <c r="K67" s="13">
        <v>77798</v>
      </c>
      <c r="L67" s="12">
        <v>148856</v>
      </c>
      <c r="M67" s="3" t="s">
        <v>37</v>
      </c>
      <c r="N67" s="30">
        <f>(G67 + H67 + I67 ) / L67</f>
        <v>0.16575751061428495</v>
      </c>
    </row>
    <row r="68" spans="1:14" ht="14.25" customHeight="1">
      <c r="A68" s="3" t="s">
        <v>411</v>
      </c>
      <c r="B68" s="3" t="s">
        <v>20</v>
      </c>
      <c r="C68" s="9" t="s">
        <v>396</v>
      </c>
      <c r="D68" s="3" t="s">
        <v>16</v>
      </c>
      <c r="E68" s="3" t="s">
        <v>547</v>
      </c>
      <c r="F68" s="3" t="s">
        <v>548</v>
      </c>
      <c r="G68" s="12">
        <v>17728</v>
      </c>
      <c r="H68" s="12">
        <v>1487</v>
      </c>
      <c r="I68" s="12">
        <v>210</v>
      </c>
      <c r="J68" s="12">
        <v>2469</v>
      </c>
      <c r="K68" s="13">
        <v>30565</v>
      </c>
      <c r="L68" s="12">
        <v>117576</v>
      </c>
      <c r="M68" s="3" t="s">
        <v>33</v>
      </c>
      <c r="N68" s="30">
        <f>(G68 + H68 + I68 ) / L68</f>
        <v>0.16521228822208614</v>
      </c>
    </row>
    <row r="69" spans="1:14" ht="14.25" customHeight="1">
      <c r="A69" s="3" t="s">
        <v>410</v>
      </c>
      <c r="B69" s="3" t="s">
        <v>62</v>
      </c>
      <c r="C69" s="9" t="s">
        <v>281</v>
      </c>
      <c r="D69" s="3" t="s">
        <v>22</v>
      </c>
      <c r="E69" s="3" t="s">
        <v>549</v>
      </c>
      <c r="F69" s="3" t="s">
        <v>550</v>
      </c>
      <c r="G69" s="12">
        <v>16594</v>
      </c>
      <c r="H69" s="12">
        <v>809</v>
      </c>
      <c r="I69" s="12">
        <v>784</v>
      </c>
      <c r="J69" s="12">
        <v>1655</v>
      </c>
      <c r="K69" s="13">
        <v>35505</v>
      </c>
      <c r="L69" s="12">
        <v>112588</v>
      </c>
      <c r="M69" s="3" t="s">
        <v>28</v>
      </c>
      <c r="N69" s="30">
        <f>(G69 + H69 + I69 ) / L69</f>
        <v>0.16153586527871533</v>
      </c>
    </row>
    <row r="70" spans="1:14" ht="14.25" customHeight="1">
      <c r="A70" s="3" t="s">
        <v>409</v>
      </c>
      <c r="B70" s="3" t="s">
        <v>20</v>
      </c>
      <c r="C70" s="10">
        <v>45920</v>
      </c>
      <c r="D70" s="3" t="s">
        <v>31</v>
      </c>
      <c r="E70" s="3" t="s">
        <v>551</v>
      </c>
      <c r="F70" s="3" t="s">
        <v>552</v>
      </c>
      <c r="G70" s="12">
        <v>18633</v>
      </c>
      <c r="H70" s="12">
        <v>797</v>
      </c>
      <c r="I70" s="12">
        <v>303</v>
      </c>
      <c r="J70" s="12">
        <v>659</v>
      </c>
      <c r="K70" s="13">
        <v>7</v>
      </c>
      <c r="L70" s="12">
        <v>122189</v>
      </c>
      <c r="M70" s="3" t="s">
        <v>37</v>
      </c>
      <c r="N70" s="30">
        <f>(G70 + H70 + I70 ) / L70</f>
        <v>0.16149571565361859</v>
      </c>
    </row>
    <row r="71" spans="1:14" ht="14.25" customHeight="1">
      <c r="A71" s="3" t="s">
        <v>407</v>
      </c>
      <c r="B71" s="3" t="s">
        <v>44</v>
      </c>
      <c r="C71" s="9" t="s">
        <v>408</v>
      </c>
      <c r="D71" s="3" t="s">
        <v>31</v>
      </c>
      <c r="E71" s="3" t="s">
        <v>558</v>
      </c>
      <c r="F71" s="3" t="s">
        <v>559</v>
      </c>
      <c r="G71" s="12">
        <v>21758</v>
      </c>
      <c r="H71" s="12">
        <v>1380</v>
      </c>
      <c r="I71" s="12">
        <v>188</v>
      </c>
      <c r="J71" s="12">
        <v>1735</v>
      </c>
      <c r="K71" s="13">
        <v>20998</v>
      </c>
      <c r="L71" s="12">
        <v>147803</v>
      </c>
      <c r="M71" s="3" t="s">
        <v>18</v>
      </c>
      <c r="N71" s="30">
        <f>(G71 + H71 + I71 ) / L71</f>
        <v>0.15781817689762725</v>
      </c>
    </row>
    <row r="72" spans="1:14" ht="14.25" customHeight="1">
      <c r="A72" s="3" t="s">
        <v>405</v>
      </c>
      <c r="B72" s="3" t="s">
        <v>20</v>
      </c>
      <c r="C72" s="9" t="s">
        <v>406</v>
      </c>
      <c r="D72" s="3" t="s">
        <v>31</v>
      </c>
      <c r="E72" s="3" t="s">
        <v>88</v>
      </c>
      <c r="F72" s="3"/>
      <c r="G72" s="12">
        <v>10172</v>
      </c>
      <c r="H72" s="12">
        <v>1398</v>
      </c>
      <c r="I72" s="12">
        <v>394</v>
      </c>
      <c r="J72" s="12">
        <v>2358</v>
      </c>
      <c r="K72" s="13">
        <v>59610</v>
      </c>
      <c r="L72" s="12">
        <v>76321</v>
      </c>
      <c r="M72" s="3" t="s">
        <v>24</v>
      </c>
      <c r="N72" s="30">
        <f>(G72 + H72 + I72 ) / L72</f>
        <v>0.15675895231980713</v>
      </c>
    </row>
    <row r="73" spans="1:14" ht="14.25" customHeight="1">
      <c r="A73" s="3" t="s">
        <v>404</v>
      </c>
      <c r="B73" s="3" t="s">
        <v>62</v>
      </c>
      <c r="C73" s="9" t="s">
        <v>198</v>
      </c>
      <c r="D73" s="3" t="s">
        <v>35</v>
      </c>
      <c r="E73" s="3" t="s">
        <v>547</v>
      </c>
      <c r="F73" s="3" t="s">
        <v>548</v>
      </c>
      <c r="G73" s="12">
        <v>14338</v>
      </c>
      <c r="H73" s="12">
        <v>1454</v>
      </c>
      <c r="I73" s="12">
        <v>697</v>
      </c>
      <c r="J73" s="12">
        <v>2703</v>
      </c>
      <c r="K73" s="13">
        <v>21288</v>
      </c>
      <c r="L73" s="12">
        <v>107649</v>
      </c>
      <c r="M73" s="3" t="s">
        <v>24</v>
      </c>
      <c r="N73" s="30">
        <f>(G73 + H73 + I73 ) / L73</f>
        <v>0.1531737405828201</v>
      </c>
    </row>
    <row r="74" spans="1:14" ht="14.25" customHeight="1">
      <c r="A74" s="3" t="s">
        <v>403</v>
      </c>
      <c r="B74" s="3" t="s">
        <v>44</v>
      </c>
      <c r="C74" s="9" t="s">
        <v>142</v>
      </c>
      <c r="D74" s="3" t="s">
        <v>22</v>
      </c>
      <c r="E74" s="3" t="s">
        <v>556</v>
      </c>
      <c r="F74" s="3" t="s">
        <v>557</v>
      </c>
      <c r="G74" s="12">
        <v>5266</v>
      </c>
      <c r="H74" s="12">
        <v>316</v>
      </c>
      <c r="I74" s="12">
        <v>837</v>
      </c>
      <c r="J74" s="12">
        <v>2276</v>
      </c>
      <c r="K74" s="13">
        <v>20967</v>
      </c>
      <c r="L74" s="12">
        <v>41969</v>
      </c>
      <c r="M74" s="3" t="s">
        <v>18</v>
      </c>
      <c r="N74" s="30">
        <f>(G74 + H74 + I74 ) / L74</f>
        <v>0.1529462222116324</v>
      </c>
    </row>
    <row r="75" spans="1:14" ht="14.25" customHeight="1">
      <c r="A75" s="3" t="s">
        <v>402</v>
      </c>
      <c r="B75" s="3" t="s">
        <v>20</v>
      </c>
      <c r="C75" s="10">
        <v>45914</v>
      </c>
      <c r="D75" s="3" t="s">
        <v>16</v>
      </c>
      <c r="E75" s="3" t="s">
        <v>554</v>
      </c>
      <c r="F75" s="3" t="s">
        <v>555</v>
      </c>
      <c r="G75" s="12">
        <v>19844</v>
      </c>
      <c r="H75" s="12">
        <v>1020</v>
      </c>
      <c r="I75" s="12">
        <v>247</v>
      </c>
      <c r="J75" s="12">
        <v>2354</v>
      </c>
      <c r="K75" s="13">
        <v>37792</v>
      </c>
      <c r="L75" s="12">
        <v>138317</v>
      </c>
      <c r="M75" s="3" t="s">
        <v>37</v>
      </c>
      <c r="N75" s="30">
        <f>(G75 + H75 + I75 ) / L75</f>
        <v>0.15262765965138053</v>
      </c>
    </row>
    <row r="76" spans="1:14" ht="14.25" customHeight="1">
      <c r="A76" s="3" t="s">
        <v>401</v>
      </c>
      <c r="B76" s="3" t="s">
        <v>14</v>
      </c>
      <c r="C76" s="9" t="s">
        <v>142</v>
      </c>
      <c r="D76" s="3" t="s">
        <v>16</v>
      </c>
      <c r="E76" s="3" t="s">
        <v>561</v>
      </c>
      <c r="F76" s="3" t="s">
        <v>551</v>
      </c>
      <c r="G76" s="12">
        <v>13470</v>
      </c>
      <c r="H76" s="12">
        <v>523</v>
      </c>
      <c r="I76" s="12">
        <v>280</v>
      </c>
      <c r="J76" s="12">
        <v>2682</v>
      </c>
      <c r="K76" s="13">
        <v>8538</v>
      </c>
      <c r="L76" s="12">
        <v>95204</v>
      </c>
      <c r="M76" s="3" t="s">
        <v>33</v>
      </c>
      <c r="N76" s="30">
        <f>(G76 + H76 + I76 ) / L76</f>
        <v>0.14992017142136885</v>
      </c>
    </row>
    <row r="77" spans="1:14" ht="14.25" customHeight="1">
      <c r="A77" s="3" t="s">
        <v>399</v>
      </c>
      <c r="B77" s="3" t="s">
        <v>44</v>
      </c>
      <c r="C77" s="9" t="s">
        <v>400</v>
      </c>
      <c r="D77" s="3" t="s">
        <v>35</v>
      </c>
      <c r="E77" s="3" t="s">
        <v>560</v>
      </c>
      <c r="F77" s="3" t="s">
        <v>88</v>
      </c>
      <c r="G77" s="12">
        <v>12954</v>
      </c>
      <c r="H77" s="12">
        <v>913</v>
      </c>
      <c r="I77" s="12">
        <v>722</v>
      </c>
      <c r="J77" s="12">
        <v>1049</v>
      </c>
      <c r="K77" s="13">
        <v>475</v>
      </c>
      <c r="L77" s="12">
        <v>97716</v>
      </c>
      <c r="M77" s="3" t="s">
        <v>33</v>
      </c>
      <c r="N77" s="30">
        <f>(G77 + H77 + I77 ) / L77</f>
        <v>0.14930001228048631</v>
      </c>
    </row>
    <row r="78" spans="1:14" ht="14.25" customHeight="1">
      <c r="A78" s="3" t="s">
        <v>398</v>
      </c>
      <c r="B78" s="3" t="s">
        <v>14</v>
      </c>
      <c r="C78" s="10">
        <v>45928</v>
      </c>
      <c r="D78" s="3" t="s">
        <v>16</v>
      </c>
      <c r="E78" s="3" t="s">
        <v>554</v>
      </c>
      <c r="F78" s="3" t="s">
        <v>555</v>
      </c>
      <c r="G78" s="12">
        <v>21963</v>
      </c>
      <c r="H78" s="12">
        <v>1356</v>
      </c>
      <c r="I78" s="12">
        <v>349</v>
      </c>
      <c r="J78" s="12">
        <v>1206</v>
      </c>
      <c r="K78" s="13">
        <v>51755</v>
      </c>
      <c r="L78" s="12">
        <v>159273</v>
      </c>
      <c r="M78" s="3" t="s">
        <v>37</v>
      </c>
      <c r="N78" s="30">
        <f>(G78 + H78 + I78 ) / L78</f>
        <v>0.14860020216860359</v>
      </c>
    </row>
    <row r="79" spans="1:14" ht="14.25" customHeight="1">
      <c r="A79" s="3" t="s">
        <v>397</v>
      </c>
      <c r="B79" s="3" t="s">
        <v>44</v>
      </c>
      <c r="C79" s="10">
        <v>45914</v>
      </c>
      <c r="D79" s="3" t="s">
        <v>16</v>
      </c>
      <c r="E79" s="3" t="s">
        <v>551</v>
      </c>
      <c r="F79" s="3" t="s">
        <v>552</v>
      </c>
      <c r="G79" s="12">
        <v>12787</v>
      </c>
      <c r="H79" s="12">
        <v>945</v>
      </c>
      <c r="I79" s="12">
        <v>974</v>
      </c>
      <c r="J79" s="12">
        <v>1407</v>
      </c>
      <c r="K79" s="13">
        <v>4037</v>
      </c>
      <c r="L79" s="12">
        <v>99182</v>
      </c>
      <c r="M79" s="3" t="s">
        <v>37</v>
      </c>
      <c r="N79" s="30">
        <f>(G79 + H79 + I79 ) / L79</f>
        <v>0.14827287209372669</v>
      </c>
    </row>
    <row r="80" spans="1:14" ht="14.25" customHeight="1">
      <c r="A80" s="3" t="s">
        <v>395</v>
      </c>
      <c r="B80" s="3" t="s">
        <v>14</v>
      </c>
      <c r="C80" s="9" t="s">
        <v>396</v>
      </c>
      <c r="D80" s="3" t="s">
        <v>31</v>
      </c>
      <c r="E80" s="3" t="s">
        <v>558</v>
      </c>
      <c r="F80" s="3" t="s">
        <v>559</v>
      </c>
      <c r="G80" s="12">
        <v>24711</v>
      </c>
      <c r="H80" s="12">
        <v>882</v>
      </c>
      <c r="I80" s="12">
        <v>876</v>
      </c>
      <c r="J80" s="12">
        <v>2728</v>
      </c>
      <c r="K80" s="13">
        <v>32015</v>
      </c>
      <c r="L80" s="12">
        <v>180272</v>
      </c>
      <c r="M80" s="3" t="s">
        <v>24</v>
      </c>
      <c r="N80" s="30">
        <f>(G80 + H80 + I80 ) / L80</f>
        <v>0.1468281263867933</v>
      </c>
    </row>
    <row r="81" spans="1:14" ht="14.25" customHeight="1">
      <c r="A81" s="3" t="s">
        <v>394</v>
      </c>
      <c r="B81" s="3" t="s">
        <v>20</v>
      </c>
      <c r="C81" s="10">
        <v>45912</v>
      </c>
      <c r="D81" s="3" t="s">
        <v>22</v>
      </c>
      <c r="E81" s="3" t="s">
        <v>547</v>
      </c>
      <c r="F81" s="3" t="s">
        <v>548</v>
      </c>
      <c r="G81" s="12">
        <v>15918</v>
      </c>
      <c r="H81" s="12">
        <v>1114</v>
      </c>
      <c r="I81" s="12">
        <v>392</v>
      </c>
      <c r="J81" s="12">
        <v>1641</v>
      </c>
      <c r="K81" s="13">
        <v>28044</v>
      </c>
      <c r="L81" s="12">
        <v>118714</v>
      </c>
      <c r="M81" s="3" t="s">
        <v>37</v>
      </c>
      <c r="N81" s="30">
        <f>(G81 + H81 + I81 ) / L81</f>
        <v>0.14677291642097814</v>
      </c>
    </row>
    <row r="82" spans="1:14" ht="14.25" customHeight="1">
      <c r="A82" s="3" t="s">
        <v>392</v>
      </c>
      <c r="B82" s="3" t="s">
        <v>44</v>
      </c>
      <c r="C82" s="9" t="s">
        <v>393</v>
      </c>
      <c r="D82" s="3" t="s">
        <v>31</v>
      </c>
      <c r="E82" s="3" t="s">
        <v>549</v>
      </c>
      <c r="F82" s="3" t="s">
        <v>550</v>
      </c>
      <c r="G82" s="12">
        <v>12453</v>
      </c>
      <c r="H82" s="12">
        <v>376</v>
      </c>
      <c r="I82" s="12">
        <v>320</v>
      </c>
      <c r="J82" s="12">
        <v>2546</v>
      </c>
      <c r="K82" s="13">
        <v>22617</v>
      </c>
      <c r="L82" s="12">
        <v>90138</v>
      </c>
      <c r="M82" s="3" t="s">
        <v>28</v>
      </c>
      <c r="N82" s="30">
        <f>(G82 + H82 + I82 ) / L82</f>
        <v>0.14587632297144379</v>
      </c>
    </row>
    <row r="83" spans="1:14" ht="14.25" customHeight="1">
      <c r="A83" s="3" t="s">
        <v>390</v>
      </c>
      <c r="B83" s="3" t="s">
        <v>14</v>
      </c>
      <c r="C83" s="9" t="s">
        <v>391</v>
      </c>
      <c r="D83" s="3" t="s">
        <v>16</v>
      </c>
      <c r="E83" s="3" t="s">
        <v>554</v>
      </c>
      <c r="F83" s="3" t="s">
        <v>555</v>
      </c>
      <c r="G83" s="12">
        <v>16277</v>
      </c>
      <c r="H83" s="12">
        <v>1109</v>
      </c>
      <c r="I83" s="12">
        <v>375</v>
      </c>
      <c r="J83" s="12">
        <v>2225</v>
      </c>
      <c r="K83" s="13">
        <v>1044</v>
      </c>
      <c r="L83" s="12">
        <v>121889</v>
      </c>
      <c r="M83" s="3" t="s">
        <v>24</v>
      </c>
      <c r="N83" s="30">
        <f>(G83 + H83 + I83 ) / L83</f>
        <v>0.14571454356012437</v>
      </c>
    </row>
    <row r="84" spans="1:14" ht="14.25" customHeight="1">
      <c r="A84" s="3" t="s">
        <v>389</v>
      </c>
      <c r="B84" s="3" t="s">
        <v>14</v>
      </c>
      <c r="C84" s="10">
        <v>45907</v>
      </c>
      <c r="D84" s="3" t="s">
        <v>35</v>
      </c>
      <c r="E84" s="3" t="s">
        <v>562</v>
      </c>
      <c r="F84" s="3" t="s">
        <v>563</v>
      </c>
      <c r="G84" s="12">
        <v>4472</v>
      </c>
      <c r="H84" s="12">
        <v>1301</v>
      </c>
      <c r="I84" s="12">
        <v>956</v>
      </c>
      <c r="J84" s="12">
        <v>1186</v>
      </c>
      <c r="K84" s="13">
        <v>3363</v>
      </c>
      <c r="L84" s="12">
        <v>46471</v>
      </c>
      <c r="M84" s="3" t="s">
        <v>37</v>
      </c>
      <c r="N84" s="30">
        <f>(G84 + H84 + I84 ) / L84</f>
        <v>0.14479998278496267</v>
      </c>
    </row>
    <row r="85" spans="1:14" ht="14.25" customHeight="1">
      <c r="A85" s="3" t="s">
        <v>388</v>
      </c>
      <c r="B85" s="3" t="s">
        <v>14</v>
      </c>
      <c r="C85" s="9" t="s">
        <v>365</v>
      </c>
      <c r="D85" s="3" t="s">
        <v>22</v>
      </c>
      <c r="E85" s="3" t="s">
        <v>554</v>
      </c>
      <c r="F85" s="3" t="s">
        <v>555</v>
      </c>
      <c r="G85" s="12">
        <v>19461</v>
      </c>
      <c r="H85" s="12">
        <v>1382</v>
      </c>
      <c r="I85" s="12">
        <v>445</v>
      </c>
      <c r="J85" s="12">
        <v>1307</v>
      </c>
      <c r="K85" s="13">
        <v>84691</v>
      </c>
      <c r="L85" s="12">
        <v>151453</v>
      </c>
      <c r="M85" s="3" t="s">
        <v>24</v>
      </c>
      <c r="N85" s="30">
        <f>(G85 + H85 + I85 ) / L85</f>
        <v>0.14055845707909384</v>
      </c>
    </row>
    <row r="86" spans="1:14" ht="14.25" customHeight="1">
      <c r="A86" s="3" t="s">
        <v>386</v>
      </c>
      <c r="B86" s="3" t="s">
        <v>20</v>
      </c>
      <c r="C86" s="9" t="s">
        <v>387</v>
      </c>
      <c r="D86" s="3" t="s">
        <v>31</v>
      </c>
      <c r="E86" s="3" t="s">
        <v>554</v>
      </c>
      <c r="F86" s="3" t="s">
        <v>555</v>
      </c>
      <c r="G86" s="12">
        <v>8229</v>
      </c>
      <c r="H86" s="12">
        <v>977</v>
      </c>
      <c r="I86" s="12">
        <v>152</v>
      </c>
      <c r="J86" s="12">
        <v>1633</v>
      </c>
      <c r="K86" s="13">
        <v>71447</v>
      </c>
      <c r="L86" s="12">
        <v>67723</v>
      </c>
      <c r="M86" s="3" t="s">
        <v>18</v>
      </c>
      <c r="N86" s="30">
        <f>(G86 + H86 + I86 ) / L86</f>
        <v>0.13818052950991538</v>
      </c>
    </row>
    <row r="87" spans="1:14" ht="14.25" customHeight="1">
      <c r="A87" s="3" t="s">
        <v>385</v>
      </c>
      <c r="B87" s="3" t="s">
        <v>20</v>
      </c>
      <c r="C87" s="10">
        <v>45943</v>
      </c>
      <c r="D87" s="3" t="s">
        <v>22</v>
      </c>
      <c r="E87" s="3" t="s">
        <v>551</v>
      </c>
      <c r="F87" s="3" t="s">
        <v>552</v>
      </c>
      <c r="G87" s="12">
        <v>19302</v>
      </c>
      <c r="H87" s="12">
        <v>1367</v>
      </c>
      <c r="I87" s="12">
        <v>188</v>
      </c>
      <c r="J87" s="12">
        <v>637</v>
      </c>
      <c r="K87" s="13">
        <v>31404</v>
      </c>
      <c r="L87" s="12">
        <v>154044</v>
      </c>
      <c r="M87" s="3" t="s">
        <v>37</v>
      </c>
      <c r="N87" s="30">
        <f>(G87 + H87 + I87 ) / L87</f>
        <v>0.13539638025499209</v>
      </c>
    </row>
    <row r="88" spans="1:14" ht="14.25" customHeight="1">
      <c r="A88" s="3" t="s">
        <v>383</v>
      </c>
      <c r="B88" s="3" t="s">
        <v>44</v>
      </c>
      <c r="C88" s="9" t="s">
        <v>384</v>
      </c>
      <c r="D88" s="3" t="s">
        <v>35</v>
      </c>
      <c r="E88" s="3" t="s">
        <v>556</v>
      </c>
      <c r="F88" s="3" t="s">
        <v>557</v>
      </c>
      <c r="G88" s="12">
        <v>24625</v>
      </c>
      <c r="H88" s="12">
        <v>749</v>
      </c>
      <c r="I88" s="12">
        <v>193</v>
      </c>
      <c r="J88" s="12">
        <v>1340</v>
      </c>
      <c r="K88" s="13">
        <v>4890</v>
      </c>
      <c r="L88" s="12">
        <v>189381</v>
      </c>
      <c r="M88" s="3" t="s">
        <v>33</v>
      </c>
      <c r="N88" s="30">
        <f>(G88 + H88 + I88 ) / L88</f>
        <v>0.13500298340382616</v>
      </c>
    </row>
    <row r="89" spans="1:14" ht="14.25" customHeight="1">
      <c r="A89" s="3" t="s">
        <v>382</v>
      </c>
      <c r="B89" s="3" t="s">
        <v>44</v>
      </c>
      <c r="C89" s="10">
        <v>45913</v>
      </c>
      <c r="D89" s="3" t="s">
        <v>16</v>
      </c>
      <c r="E89" s="3" t="s">
        <v>547</v>
      </c>
      <c r="F89" s="3" t="s">
        <v>548</v>
      </c>
      <c r="G89" s="12">
        <v>17106</v>
      </c>
      <c r="H89" s="12">
        <v>702</v>
      </c>
      <c r="I89" s="12">
        <v>459</v>
      </c>
      <c r="J89" s="12">
        <v>999</v>
      </c>
      <c r="K89" s="13">
        <v>59627</v>
      </c>
      <c r="L89" s="12">
        <v>136059</v>
      </c>
      <c r="M89" s="3" t="s">
        <v>37</v>
      </c>
      <c r="N89" s="30">
        <f>(G89 + H89 + I89 ) / L89</f>
        <v>0.13425793222058077</v>
      </c>
    </row>
    <row r="90" spans="1:14" ht="14.25" customHeight="1">
      <c r="A90" s="3" t="s">
        <v>380</v>
      </c>
      <c r="B90" s="3" t="s">
        <v>20</v>
      </c>
      <c r="C90" s="9" t="s">
        <v>381</v>
      </c>
      <c r="D90" s="3" t="s">
        <v>31</v>
      </c>
      <c r="E90" s="3" t="s">
        <v>556</v>
      </c>
      <c r="F90" s="3" t="s">
        <v>557</v>
      </c>
      <c r="G90" s="12">
        <v>19022</v>
      </c>
      <c r="H90" s="12">
        <v>541</v>
      </c>
      <c r="I90" s="12">
        <v>575</v>
      </c>
      <c r="J90" s="12">
        <v>2063</v>
      </c>
      <c r="K90" s="13">
        <v>42743</v>
      </c>
      <c r="L90" s="12">
        <v>150169</v>
      </c>
      <c r="M90" s="3" t="s">
        <v>33</v>
      </c>
      <c r="N90" s="30">
        <f>(G90 + H90 + I90 ) / L90</f>
        <v>0.13410224480418728</v>
      </c>
    </row>
    <row r="91" spans="1:14" ht="14.25" customHeight="1">
      <c r="A91" s="3" t="s">
        <v>379</v>
      </c>
      <c r="B91" s="3" t="s">
        <v>44</v>
      </c>
      <c r="C91" s="9" t="s">
        <v>107</v>
      </c>
      <c r="D91" s="3" t="s">
        <v>35</v>
      </c>
      <c r="E91" s="3" t="s">
        <v>554</v>
      </c>
      <c r="F91" s="3" t="s">
        <v>555</v>
      </c>
      <c r="G91" s="12">
        <v>9239</v>
      </c>
      <c r="H91" s="12">
        <v>1477</v>
      </c>
      <c r="I91" s="12">
        <v>631</v>
      </c>
      <c r="J91" s="12">
        <v>1556</v>
      </c>
      <c r="K91" s="13">
        <v>11580</v>
      </c>
      <c r="L91" s="12">
        <v>84738</v>
      </c>
      <c r="M91" s="3" t="s">
        <v>28</v>
      </c>
      <c r="N91" s="30">
        <f>(G91 + H91 + I91 ) / L91</f>
        <v>0.13390686586891359</v>
      </c>
    </row>
    <row r="92" spans="1:14" ht="14.25" customHeight="1">
      <c r="A92" s="3" t="s">
        <v>378</v>
      </c>
      <c r="B92" s="3" t="s">
        <v>20</v>
      </c>
      <c r="C92" s="9" t="s">
        <v>131</v>
      </c>
      <c r="D92" s="3" t="s">
        <v>35</v>
      </c>
      <c r="E92" s="3" t="s">
        <v>561</v>
      </c>
      <c r="F92" s="3" t="s">
        <v>551</v>
      </c>
      <c r="G92" s="12">
        <v>20777</v>
      </c>
      <c r="H92" s="12">
        <v>962</v>
      </c>
      <c r="I92" s="12">
        <v>308</v>
      </c>
      <c r="J92" s="12">
        <v>2777</v>
      </c>
      <c r="K92" s="13">
        <v>25529</v>
      </c>
      <c r="L92" s="12">
        <v>165354</v>
      </c>
      <c r="M92" s="3" t="s">
        <v>33</v>
      </c>
      <c r="N92" s="30">
        <f>(G92 + H92 + I92 ) / L92</f>
        <v>0.13333212380710477</v>
      </c>
    </row>
    <row r="93" spans="1:14" ht="14.25" customHeight="1">
      <c r="A93" s="3" t="s">
        <v>377</v>
      </c>
      <c r="B93" s="3" t="s">
        <v>62</v>
      </c>
      <c r="C93" s="9" t="s">
        <v>231</v>
      </c>
      <c r="D93" s="3" t="s">
        <v>16</v>
      </c>
      <c r="E93" s="3" t="s">
        <v>551</v>
      </c>
      <c r="F93" s="3" t="s">
        <v>552</v>
      </c>
      <c r="G93" s="12">
        <v>24928</v>
      </c>
      <c r="H93" s="12">
        <v>214</v>
      </c>
      <c r="I93" s="12">
        <v>765</v>
      </c>
      <c r="J93" s="12">
        <v>1556</v>
      </c>
      <c r="K93" s="13">
        <v>5239</v>
      </c>
      <c r="L93" s="12">
        <v>194571</v>
      </c>
      <c r="M93" s="3" t="s">
        <v>18</v>
      </c>
      <c r="N93" s="30">
        <f>(G93 + H93 + I93 ) / L93</f>
        <v>0.13314933880177415</v>
      </c>
    </row>
    <row r="94" spans="1:14" ht="14.25" customHeight="1">
      <c r="A94" s="3" t="s">
        <v>375</v>
      </c>
      <c r="B94" s="3" t="s">
        <v>20</v>
      </c>
      <c r="C94" s="9" t="s">
        <v>376</v>
      </c>
      <c r="D94" s="3" t="s">
        <v>16</v>
      </c>
      <c r="E94" s="3" t="s">
        <v>561</v>
      </c>
      <c r="F94" s="3" t="s">
        <v>551</v>
      </c>
      <c r="G94" s="12">
        <v>15703</v>
      </c>
      <c r="H94" s="12">
        <v>1381</v>
      </c>
      <c r="I94" s="12">
        <v>639</v>
      </c>
      <c r="J94" s="12">
        <v>984</v>
      </c>
      <c r="K94" s="13">
        <v>10967</v>
      </c>
      <c r="L94" s="12">
        <v>133747</v>
      </c>
      <c r="M94" s="3" t="s">
        <v>18</v>
      </c>
      <c r="N94" s="30">
        <f>(G94 + H94 + I94 ) / L94</f>
        <v>0.13251138343289942</v>
      </c>
    </row>
    <row r="95" spans="1:14" ht="14.25" customHeight="1">
      <c r="A95" s="3" t="s">
        <v>374</v>
      </c>
      <c r="B95" s="3" t="s">
        <v>44</v>
      </c>
      <c r="C95" s="9" t="s">
        <v>76</v>
      </c>
      <c r="D95" s="3" t="s">
        <v>16</v>
      </c>
      <c r="E95" s="3" t="s">
        <v>547</v>
      </c>
      <c r="F95" s="3" t="s">
        <v>548</v>
      </c>
      <c r="G95" s="12">
        <v>7713</v>
      </c>
      <c r="H95" s="12">
        <v>575</v>
      </c>
      <c r="I95" s="12">
        <v>417</v>
      </c>
      <c r="J95" s="12">
        <v>336</v>
      </c>
      <c r="K95" s="13">
        <v>23275</v>
      </c>
      <c r="L95" s="12">
        <v>66017</v>
      </c>
      <c r="M95" s="3" t="s">
        <v>24</v>
      </c>
      <c r="N95" s="30">
        <f>(G95 + H95 + I95 ) / L95</f>
        <v>0.13185997546086614</v>
      </c>
    </row>
    <row r="96" spans="1:14" ht="14.25" customHeight="1">
      <c r="A96" s="3" t="s">
        <v>373</v>
      </c>
      <c r="B96" s="3" t="s">
        <v>44</v>
      </c>
      <c r="C96" s="10">
        <v>45925</v>
      </c>
      <c r="D96" s="3" t="s">
        <v>31</v>
      </c>
      <c r="E96" s="3" t="s">
        <v>88</v>
      </c>
      <c r="F96" s="3"/>
      <c r="G96" s="12">
        <v>20564</v>
      </c>
      <c r="H96" s="12">
        <v>1433</v>
      </c>
      <c r="I96" s="12">
        <v>488</v>
      </c>
      <c r="J96" s="12">
        <v>1015</v>
      </c>
      <c r="K96" s="13">
        <v>24333</v>
      </c>
      <c r="L96" s="12">
        <v>172130</v>
      </c>
      <c r="M96" s="3" t="s">
        <v>37</v>
      </c>
      <c r="N96" s="30">
        <f>(G96 + H96 + I96 ) / L96</f>
        <v>0.13062801371056759</v>
      </c>
    </row>
    <row r="97" spans="1:14" ht="14.25" customHeight="1">
      <c r="A97" s="3" t="s">
        <v>371</v>
      </c>
      <c r="B97" s="3" t="s">
        <v>62</v>
      </c>
      <c r="C97" s="9" t="s">
        <v>372</v>
      </c>
      <c r="D97" s="3" t="s">
        <v>16</v>
      </c>
      <c r="E97" s="3" t="s">
        <v>560</v>
      </c>
      <c r="F97" s="3" t="s">
        <v>88</v>
      </c>
      <c r="G97" s="12">
        <v>20444</v>
      </c>
      <c r="H97" s="12">
        <v>233</v>
      </c>
      <c r="I97" s="12">
        <v>189</v>
      </c>
      <c r="J97" s="12">
        <v>2879</v>
      </c>
      <c r="K97" s="13">
        <v>28185</v>
      </c>
      <c r="L97" s="12">
        <v>159891</v>
      </c>
      <c r="M97" s="3" t="s">
        <v>24</v>
      </c>
      <c r="N97" s="30">
        <f>(G97 + H97 + I97 ) / L97</f>
        <v>0.13050140408153055</v>
      </c>
    </row>
    <row r="98" spans="1:14" ht="14.25" customHeight="1">
      <c r="A98" s="3" t="s">
        <v>370</v>
      </c>
      <c r="B98" s="3" t="s">
        <v>20</v>
      </c>
      <c r="C98" s="9" t="s">
        <v>297</v>
      </c>
      <c r="D98" s="3" t="s">
        <v>31</v>
      </c>
      <c r="E98" s="3" t="s">
        <v>549</v>
      </c>
      <c r="F98" s="3" t="s">
        <v>550</v>
      </c>
      <c r="G98" s="12">
        <v>24516</v>
      </c>
      <c r="H98" s="12">
        <v>976</v>
      </c>
      <c r="I98" s="12">
        <v>974</v>
      </c>
      <c r="J98" s="12">
        <v>2675</v>
      </c>
      <c r="K98" s="13">
        <v>23275</v>
      </c>
      <c r="L98" s="12">
        <v>202932</v>
      </c>
      <c r="M98" s="3" t="s">
        <v>33</v>
      </c>
      <c r="N98" s="30">
        <f>(G98 + H98 + I98 ) / L98</f>
        <v>0.13041807107799658</v>
      </c>
    </row>
    <row r="99" spans="1:14" ht="14.25" customHeight="1">
      <c r="A99" s="3" t="s">
        <v>368</v>
      </c>
      <c r="B99" s="3" t="s">
        <v>14</v>
      </c>
      <c r="C99" s="9" t="s">
        <v>369</v>
      </c>
      <c r="D99" s="3" t="s">
        <v>31</v>
      </c>
      <c r="E99" s="3" t="s">
        <v>556</v>
      </c>
      <c r="F99" s="3" t="s">
        <v>557</v>
      </c>
      <c r="G99" s="12">
        <v>15051</v>
      </c>
      <c r="H99" s="12">
        <v>268</v>
      </c>
      <c r="I99" s="12">
        <v>251</v>
      </c>
      <c r="J99" s="12">
        <v>783</v>
      </c>
      <c r="K99" s="13">
        <v>34154</v>
      </c>
      <c r="L99" s="12">
        <v>119671</v>
      </c>
      <c r="M99" s="3" t="s">
        <v>24</v>
      </c>
      <c r="N99" s="30">
        <f>(G99 + H99 + I99 ) / L99</f>
        <v>0.13010670922779954</v>
      </c>
    </row>
    <row r="100" spans="1:14" ht="14.25" customHeight="1">
      <c r="A100" s="3" t="s">
        <v>366</v>
      </c>
      <c r="B100" s="3" t="s">
        <v>20</v>
      </c>
      <c r="C100" s="9" t="s">
        <v>367</v>
      </c>
      <c r="D100" s="3" t="s">
        <v>31</v>
      </c>
      <c r="E100" s="3" t="s">
        <v>551</v>
      </c>
      <c r="F100" s="3" t="s">
        <v>552</v>
      </c>
      <c r="G100" s="12">
        <v>23949</v>
      </c>
      <c r="H100" s="12">
        <v>356</v>
      </c>
      <c r="I100" s="12">
        <v>616</v>
      </c>
      <c r="J100" s="12">
        <v>1847</v>
      </c>
      <c r="K100" s="13">
        <v>3144</v>
      </c>
      <c r="L100" s="12">
        <v>192999</v>
      </c>
      <c r="M100" s="3" t="s">
        <v>24</v>
      </c>
      <c r="N100" s="30">
        <f>(G100 + H100 + I100 ) / L100</f>
        <v>0.12912502137316773</v>
      </c>
    </row>
    <row r="101" spans="1:14" ht="14.25" customHeight="1">
      <c r="A101" s="3" t="s">
        <v>364</v>
      </c>
      <c r="B101" s="3" t="s">
        <v>44</v>
      </c>
      <c r="C101" s="9" t="s">
        <v>365</v>
      </c>
      <c r="D101" s="3" t="s">
        <v>16</v>
      </c>
      <c r="E101" s="3" t="s">
        <v>558</v>
      </c>
      <c r="F101" s="3" t="s">
        <v>559</v>
      </c>
      <c r="G101" s="12">
        <v>23508</v>
      </c>
      <c r="H101" s="12">
        <v>585</v>
      </c>
      <c r="I101" s="12">
        <v>743</v>
      </c>
      <c r="J101" s="12">
        <v>2155</v>
      </c>
      <c r="K101" s="13">
        <v>3704</v>
      </c>
      <c r="L101" s="12">
        <v>194268</v>
      </c>
      <c r="M101" s="3" t="s">
        <v>24</v>
      </c>
      <c r="N101" s="30">
        <f>(G101 + H101 + I101 ) / L101</f>
        <v>0.1278440093067309</v>
      </c>
    </row>
    <row r="102" spans="1:14" ht="14.25" customHeight="1">
      <c r="A102" s="3" t="s">
        <v>363</v>
      </c>
      <c r="B102" s="3" t="s">
        <v>20</v>
      </c>
      <c r="C102" s="9" t="s">
        <v>283</v>
      </c>
      <c r="D102" s="3" t="s">
        <v>22</v>
      </c>
      <c r="E102" s="3" t="s">
        <v>547</v>
      </c>
      <c r="F102" s="3" t="s">
        <v>548</v>
      </c>
      <c r="G102" s="12">
        <v>5086</v>
      </c>
      <c r="H102" s="12">
        <v>1336</v>
      </c>
      <c r="I102" s="12">
        <v>897</v>
      </c>
      <c r="J102" s="12">
        <v>1715</v>
      </c>
      <c r="K102" s="13">
        <v>60592</v>
      </c>
      <c r="L102" s="12">
        <v>57772</v>
      </c>
      <c r="M102" s="3" t="s">
        <v>28</v>
      </c>
      <c r="N102" s="30">
        <f>(G102 + H102 + I102 ) / L102</f>
        <v>0.12668766876687668</v>
      </c>
    </row>
    <row r="103" spans="1:14" ht="14.25" customHeight="1">
      <c r="A103" s="3" t="s">
        <v>362</v>
      </c>
      <c r="B103" s="3" t="s">
        <v>20</v>
      </c>
      <c r="C103" s="9" t="s">
        <v>15</v>
      </c>
      <c r="D103" s="3" t="s">
        <v>16</v>
      </c>
      <c r="E103" s="3" t="s">
        <v>561</v>
      </c>
      <c r="F103" s="3" t="s">
        <v>551</v>
      </c>
      <c r="G103" s="12">
        <v>19055</v>
      </c>
      <c r="H103" s="12">
        <v>443</v>
      </c>
      <c r="I103" s="12">
        <v>976</v>
      </c>
      <c r="J103" s="12">
        <v>869</v>
      </c>
      <c r="K103" s="13">
        <v>75437</v>
      </c>
      <c r="L103" s="12">
        <v>161863</v>
      </c>
      <c r="M103" s="3" t="s">
        <v>28</v>
      </c>
      <c r="N103" s="30">
        <f>(G103 + H103 + I103 ) / L103</f>
        <v>0.12648968572187591</v>
      </c>
    </row>
    <row r="104" spans="1:14" ht="14.25" customHeight="1">
      <c r="A104" s="3" t="s">
        <v>361</v>
      </c>
      <c r="B104" s="3" t="s">
        <v>14</v>
      </c>
      <c r="C104" s="10">
        <v>45923</v>
      </c>
      <c r="D104" s="3" t="s">
        <v>35</v>
      </c>
      <c r="E104" s="3" t="s">
        <v>551</v>
      </c>
      <c r="F104" s="3" t="s">
        <v>552</v>
      </c>
      <c r="G104" s="12">
        <v>17147</v>
      </c>
      <c r="H104" s="12">
        <v>286</v>
      </c>
      <c r="I104" s="12">
        <v>291</v>
      </c>
      <c r="J104" s="12">
        <v>2439</v>
      </c>
      <c r="K104" s="13">
        <v>45631</v>
      </c>
      <c r="L104" s="12">
        <v>140494</v>
      </c>
      <c r="M104" s="3" t="s">
        <v>37</v>
      </c>
      <c r="N104" s="30">
        <f>(G104 + H104 + I104 ) / L104</f>
        <v>0.12615485358805359</v>
      </c>
    </row>
    <row r="105" spans="1:14" ht="14.25" customHeight="1">
      <c r="A105" s="3" t="s">
        <v>359</v>
      </c>
      <c r="B105" s="3" t="s">
        <v>14</v>
      </c>
      <c r="C105" s="9" t="s">
        <v>360</v>
      </c>
      <c r="D105" s="3" t="s">
        <v>22</v>
      </c>
      <c r="E105" s="3" t="s">
        <v>561</v>
      </c>
      <c r="F105" s="3" t="s">
        <v>551</v>
      </c>
      <c r="G105" s="12">
        <v>23168</v>
      </c>
      <c r="H105" s="12">
        <v>1265</v>
      </c>
      <c r="I105" s="12">
        <v>441</v>
      </c>
      <c r="J105" s="12">
        <v>1612</v>
      </c>
      <c r="K105" s="13">
        <v>66615</v>
      </c>
      <c r="L105" s="12">
        <v>197795</v>
      </c>
      <c r="M105" s="3" t="s">
        <v>24</v>
      </c>
      <c r="N105" s="30">
        <f>(G105 + H105 + I105 ) / L105</f>
        <v>0.12575646502692181</v>
      </c>
    </row>
    <row r="106" spans="1:14" ht="14.25" customHeight="1">
      <c r="A106" s="3" t="s">
        <v>357</v>
      </c>
      <c r="B106" s="3" t="s">
        <v>62</v>
      </c>
      <c r="C106" s="9" t="s">
        <v>358</v>
      </c>
      <c r="D106" s="3" t="s">
        <v>22</v>
      </c>
      <c r="E106" s="3" t="s">
        <v>558</v>
      </c>
      <c r="F106" s="3" t="s">
        <v>559</v>
      </c>
      <c r="G106" s="12">
        <v>18608</v>
      </c>
      <c r="H106" s="12">
        <v>1338</v>
      </c>
      <c r="I106" s="12">
        <v>365</v>
      </c>
      <c r="J106" s="12">
        <v>2289</v>
      </c>
      <c r="K106" s="13">
        <v>20785</v>
      </c>
      <c r="L106" s="12">
        <v>161999</v>
      </c>
      <c r="M106" s="3" t="s">
        <v>33</v>
      </c>
      <c r="N106" s="30">
        <f>(G106 + H106 + I106 ) / L106</f>
        <v>0.12537731714393299</v>
      </c>
    </row>
    <row r="107" spans="1:14" ht="14.25" customHeight="1">
      <c r="A107" s="3" t="s">
        <v>356</v>
      </c>
      <c r="B107" s="3" t="s">
        <v>14</v>
      </c>
      <c r="C107" s="9" t="s">
        <v>131</v>
      </c>
      <c r="D107" s="3" t="s">
        <v>31</v>
      </c>
      <c r="E107" s="3" t="s">
        <v>561</v>
      </c>
      <c r="F107" s="3" t="s">
        <v>551</v>
      </c>
      <c r="G107" s="12">
        <v>20271</v>
      </c>
      <c r="H107" s="12">
        <v>512</v>
      </c>
      <c r="I107" s="12">
        <v>286</v>
      </c>
      <c r="J107" s="12">
        <v>1982</v>
      </c>
      <c r="K107" s="13">
        <v>43225</v>
      </c>
      <c r="L107" s="12">
        <v>168335</v>
      </c>
      <c r="M107" s="3" t="s">
        <v>24</v>
      </c>
      <c r="N107" s="30">
        <f>(G107 + H107 + I107 ) / L107</f>
        <v>0.12516113701844536</v>
      </c>
    </row>
    <row r="108" spans="1:14" ht="14.25" customHeight="1">
      <c r="A108" s="3" t="s">
        <v>355</v>
      </c>
      <c r="B108" s="3" t="s">
        <v>44</v>
      </c>
      <c r="C108" s="9" t="s">
        <v>159</v>
      </c>
      <c r="D108" s="3" t="s">
        <v>16</v>
      </c>
      <c r="E108" s="3" t="s">
        <v>51</v>
      </c>
      <c r="F108" s="3"/>
      <c r="G108" s="12">
        <v>20384</v>
      </c>
      <c r="H108" s="12">
        <v>344</v>
      </c>
      <c r="I108" s="12">
        <v>956</v>
      </c>
      <c r="J108" s="12">
        <v>655</v>
      </c>
      <c r="K108" s="13">
        <v>67621</v>
      </c>
      <c r="L108" s="12">
        <v>175720</v>
      </c>
      <c r="M108" s="3" t="s">
        <v>28</v>
      </c>
      <c r="N108" s="30">
        <f>(G108 + H108 + I108 ) / L108</f>
        <v>0.12340086501251991</v>
      </c>
    </row>
    <row r="109" spans="1:14" ht="14.25" customHeight="1">
      <c r="A109" s="3" t="s">
        <v>353</v>
      </c>
      <c r="B109" s="3" t="s">
        <v>14</v>
      </c>
      <c r="C109" s="9" t="s">
        <v>354</v>
      </c>
      <c r="D109" s="3" t="s">
        <v>16</v>
      </c>
      <c r="E109" s="3" t="s">
        <v>560</v>
      </c>
      <c r="F109" s="3" t="s">
        <v>88</v>
      </c>
      <c r="G109" s="12">
        <v>8981</v>
      </c>
      <c r="H109" s="12">
        <v>1138</v>
      </c>
      <c r="I109" s="12">
        <v>764</v>
      </c>
      <c r="J109" s="12">
        <v>2555</v>
      </c>
      <c r="K109" s="13">
        <v>92810</v>
      </c>
      <c r="L109" s="12">
        <v>88320</v>
      </c>
      <c r="M109" s="3" t="s">
        <v>18</v>
      </c>
      <c r="N109" s="30">
        <f>(G109 + H109 + I109 ) / L109</f>
        <v>0.1232223731884058</v>
      </c>
    </row>
    <row r="110" spans="1:14" ht="14.25" customHeight="1">
      <c r="A110" s="3" t="s">
        <v>351</v>
      </c>
      <c r="B110" s="3" t="s">
        <v>20</v>
      </c>
      <c r="C110" s="9" t="s">
        <v>352</v>
      </c>
      <c r="D110" s="3" t="s">
        <v>22</v>
      </c>
      <c r="E110" s="3" t="s">
        <v>560</v>
      </c>
      <c r="F110" s="3" t="s">
        <v>88</v>
      </c>
      <c r="G110" s="12">
        <v>24877</v>
      </c>
      <c r="H110" s="12">
        <v>262</v>
      </c>
      <c r="I110" s="12">
        <v>513</v>
      </c>
      <c r="J110" s="12">
        <v>648</v>
      </c>
      <c r="K110" s="13">
        <v>47544</v>
      </c>
      <c r="L110" s="12">
        <v>208280</v>
      </c>
      <c r="M110" s="3" t="s">
        <v>28</v>
      </c>
      <c r="N110" s="30">
        <f>(G110 + H110 + I110 ) / L110</f>
        <v>0.12316112924908777</v>
      </c>
    </row>
    <row r="111" spans="1:14" ht="14.25" customHeight="1">
      <c r="A111" s="3" t="s">
        <v>349</v>
      </c>
      <c r="B111" s="3" t="s">
        <v>62</v>
      </c>
      <c r="C111" s="9" t="s">
        <v>350</v>
      </c>
      <c r="D111" s="3" t="s">
        <v>16</v>
      </c>
      <c r="E111" s="3" t="s">
        <v>554</v>
      </c>
      <c r="F111" s="3" t="s">
        <v>555</v>
      </c>
      <c r="G111" s="12">
        <v>24355</v>
      </c>
      <c r="H111" s="12">
        <v>1087</v>
      </c>
      <c r="I111" s="12">
        <v>686</v>
      </c>
      <c r="J111" s="12">
        <v>2426</v>
      </c>
      <c r="K111" s="13">
        <v>24963</v>
      </c>
      <c r="L111" s="12">
        <v>212307</v>
      </c>
      <c r="M111" s="3" t="s">
        <v>33</v>
      </c>
      <c r="N111" s="30">
        <f>(G111 + H111 + I111 ) / L111</f>
        <v>0.1230670679723231</v>
      </c>
    </row>
    <row r="112" spans="1:14" ht="14.25" customHeight="1">
      <c r="A112" s="3" t="s">
        <v>348</v>
      </c>
      <c r="B112" s="3" t="s">
        <v>14</v>
      </c>
      <c r="C112" s="10">
        <v>45926</v>
      </c>
      <c r="D112" s="3" t="s">
        <v>16</v>
      </c>
      <c r="E112" s="3" t="s">
        <v>549</v>
      </c>
      <c r="F112" s="3" t="s">
        <v>550</v>
      </c>
      <c r="G112" s="12">
        <v>16369</v>
      </c>
      <c r="H112" s="12">
        <v>1452</v>
      </c>
      <c r="I112" s="12">
        <v>493</v>
      </c>
      <c r="J112" s="12">
        <v>1217</v>
      </c>
      <c r="K112" s="13">
        <v>91440</v>
      </c>
      <c r="L112" s="12">
        <v>149834</v>
      </c>
      <c r="M112" s="3" t="s">
        <v>37</v>
      </c>
      <c r="N112" s="30">
        <f>(G112 + H112 + I112 ) / L112</f>
        <v>0.12222859965027964</v>
      </c>
    </row>
    <row r="113" spans="1:14" ht="14.25" customHeight="1">
      <c r="A113" s="3" t="s">
        <v>346</v>
      </c>
      <c r="B113" s="3" t="s">
        <v>62</v>
      </c>
      <c r="C113" s="9" t="s">
        <v>347</v>
      </c>
      <c r="D113" s="3" t="s">
        <v>35</v>
      </c>
      <c r="E113" s="3" t="s">
        <v>554</v>
      </c>
      <c r="F113" s="3" t="s">
        <v>555</v>
      </c>
      <c r="G113" s="12">
        <v>12176</v>
      </c>
      <c r="H113" s="12">
        <v>1005</v>
      </c>
      <c r="I113" s="12">
        <v>862</v>
      </c>
      <c r="J113" s="12">
        <v>974</v>
      </c>
      <c r="K113" s="13">
        <v>2285</v>
      </c>
      <c r="L113" s="12">
        <v>116619</v>
      </c>
      <c r="M113" s="3" t="s">
        <v>24</v>
      </c>
      <c r="N113" s="30">
        <f>(G113 + H113 + I113 ) / L113</f>
        <v>0.12041777068916729</v>
      </c>
    </row>
    <row r="114" spans="1:14" ht="14.25" customHeight="1">
      <c r="A114" s="3" t="s">
        <v>344</v>
      </c>
      <c r="B114" s="3" t="s">
        <v>62</v>
      </c>
      <c r="C114" s="9" t="s">
        <v>345</v>
      </c>
      <c r="D114" s="3" t="s">
        <v>22</v>
      </c>
      <c r="E114" s="3" t="s">
        <v>558</v>
      </c>
      <c r="F114" s="3" t="s">
        <v>559</v>
      </c>
      <c r="G114" s="12">
        <v>3761</v>
      </c>
      <c r="H114" s="12">
        <v>651</v>
      </c>
      <c r="I114" s="12">
        <v>493</v>
      </c>
      <c r="J114" s="12">
        <v>2294</v>
      </c>
      <c r="K114" s="13">
        <v>71696</v>
      </c>
      <c r="L114" s="12">
        <v>41177</v>
      </c>
      <c r="M114" s="3" t="s">
        <v>33</v>
      </c>
      <c r="N114" s="30">
        <f>(G114 + H114 + I114 ) / L114</f>
        <v>0.11911989702989532</v>
      </c>
    </row>
    <row r="115" spans="1:14" ht="14.25" customHeight="1">
      <c r="A115" s="3" t="s">
        <v>342</v>
      </c>
      <c r="B115" s="3" t="s">
        <v>14</v>
      </c>
      <c r="C115" s="9" t="s">
        <v>343</v>
      </c>
      <c r="D115" s="3" t="s">
        <v>31</v>
      </c>
      <c r="E115" s="3" t="s">
        <v>547</v>
      </c>
      <c r="F115" s="3" t="s">
        <v>548</v>
      </c>
      <c r="G115" s="12">
        <v>19844</v>
      </c>
      <c r="H115" s="12">
        <v>1022</v>
      </c>
      <c r="I115" s="12">
        <v>860</v>
      </c>
      <c r="J115" s="12">
        <v>2570</v>
      </c>
      <c r="K115" s="13">
        <v>23719</v>
      </c>
      <c r="L115" s="12">
        <v>182628</v>
      </c>
      <c r="M115" s="3" t="s">
        <v>28</v>
      </c>
      <c r="N115" s="30">
        <f>(G115 + H115 + I115 ) / L115</f>
        <v>0.11896313818253498</v>
      </c>
    </row>
    <row r="116" spans="1:14" ht="14.25" customHeight="1">
      <c r="A116" s="3" t="s">
        <v>340</v>
      </c>
      <c r="B116" s="3" t="s">
        <v>62</v>
      </c>
      <c r="C116" s="9" t="s">
        <v>341</v>
      </c>
      <c r="D116" s="3" t="s">
        <v>22</v>
      </c>
      <c r="E116" s="3" t="s">
        <v>551</v>
      </c>
      <c r="F116" s="3" t="s">
        <v>553</v>
      </c>
      <c r="G116" s="12">
        <v>21216</v>
      </c>
      <c r="H116" s="12">
        <v>1207</v>
      </c>
      <c r="I116" s="12">
        <v>859</v>
      </c>
      <c r="J116" s="12">
        <v>328</v>
      </c>
      <c r="K116" s="13">
        <v>91296</v>
      </c>
      <c r="L116" s="12">
        <v>196683</v>
      </c>
      <c r="M116" s="3" t="s">
        <v>28</v>
      </c>
      <c r="N116" s="30">
        <f>(G116 + H116 + I116 ) / L116</f>
        <v>0.1183732198512327</v>
      </c>
    </row>
    <row r="117" spans="1:14" ht="14.25" customHeight="1">
      <c r="A117" s="3" t="s">
        <v>339</v>
      </c>
      <c r="B117" s="3" t="s">
        <v>44</v>
      </c>
      <c r="C117" s="9" t="s">
        <v>73</v>
      </c>
      <c r="D117" s="3" t="s">
        <v>31</v>
      </c>
      <c r="E117" s="3" t="s">
        <v>549</v>
      </c>
      <c r="F117" s="3" t="s">
        <v>550</v>
      </c>
      <c r="G117" s="12">
        <v>12357</v>
      </c>
      <c r="H117" s="12">
        <v>716</v>
      </c>
      <c r="I117" s="12">
        <v>599</v>
      </c>
      <c r="J117" s="12">
        <v>999</v>
      </c>
      <c r="K117" s="13">
        <v>89591</v>
      </c>
      <c r="L117" s="12">
        <v>116367</v>
      </c>
      <c r="M117" s="3" t="s">
        <v>33</v>
      </c>
      <c r="N117" s="30">
        <f>(G117 + H117 + I117 ) / L117</f>
        <v>0.11749035379446063</v>
      </c>
    </row>
    <row r="118" spans="1:14" ht="14.25" customHeight="1">
      <c r="A118" s="3" t="s">
        <v>338</v>
      </c>
      <c r="B118" s="3" t="s">
        <v>44</v>
      </c>
      <c r="C118" s="10">
        <v>45922</v>
      </c>
      <c r="D118" s="3" t="s">
        <v>16</v>
      </c>
      <c r="E118" s="3" t="s">
        <v>88</v>
      </c>
      <c r="F118" s="3"/>
      <c r="G118" s="12">
        <v>18509</v>
      </c>
      <c r="H118" s="12">
        <v>361</v>
      </c>
      <c r="I118" s="12">
        <v>578</v>
      </c>
      <c r="J118" s="12">
        <v>1409</v>
      </c>
      <c r="K118" s="13">
        <v>10569</v>
      </c>
      <c r="L118" s="12">
        <v>166969</v>
      </c>
      <c r="M118" s="3" t="s">
        <v>37</v>
      </c>
      <c r="N118" s="30">
        <f>(G118 + H118 + I118 ) / L118</f>
        <v>0.11647671124580011</v>
      </c>
    </row>
    <row r="119" spans="1:14" ht="14.25" customHeight="1">
      <c r="A119" s="3" t="s">
        <v>337</v>
      </c>
      <c r="B119" s="3" t="s">
        <v>20</v>
      </c>
      <c r="C119" s="9" t="s">
        <v>222</v>
      </c>
      <c r="D119" s="3" t="s">
        <v>35</v>
      </c>
      <c r="E119" s="3" t="s">
        <v>554</v>
      </c>
      <c r="F119" s="3" t="s">
        <v>555</v>
      </c>
      <c r="G119" s="12">
        <v>7342</v>
      </c>
      <c r="H119" s="12">
        <v>906</v>
      </c>
      <c r="I119" s="12">
        <v>902</v>
      </c>
      <c r="J119" s="12">
        <v>1199</v>
      </c>
      <c r="K119" s="13">
        <v>68488</v>
      </c>
      <c r="L119" s="12">
        <v>79310</v>
      </c>
      <c r="M119" s="3" t="s">
        <v>33</v>
      </c>
      <c r="N119" s="30">
        <f>(G119 + H119 + I119 ) / L119</f>
        <v>0.1153700668263775</v>
      </c>
    </row>
    <row r="120" spans="1:14" ht="14.25" customHeight="1">
      <c r="A120" s="3" t="s">
        <v>335</v>
      </c>
      <c r="B120" s="3" t="s">
        <v>62</v>
      </c>
      <c r="C120" s="9" t="s">
        <v>336</v>
      </c>
      <c r="D120" s="3" t="s">
        <v>35</v>
      </c>
      <c r="E120" s="3" t="s">
        <v>551</v>
      </c>
      <c r="F120" s="3" t="s">
        <v>553</v>
      </c>
      <c r="G120" s="12">
        <v>23499</v>
      </c>
      <c r="H120" s="12">
        <v>562</v>
      </c>
      <c r="I120" s="12">
        <v>964</v>
      </c>
      <c r="J120" s="12">
        <v>2557</v>
      </c>
      <c r="K120" s="13">
        <v>56890</v>
      </c>
      <c r="L120" s="12">
        <v>218686</v>
      </c>
      <c r="M120" s="3" t="s">
        <v>24</v>
      </c>
      <c r="N120" s="30">
        <f>(G120 + H120 + I120 ) / L120</f>
        <v>0.11443347996671026</v>
      </c>
    </row>
    <row r="121" spans="1:14" ht="14.25" customHeight="1">
      <c r="A121" s="3" t="s">
        <v>334</v>
      </c>
      <c r="B121" s="3" t="s">
        <v>14</v>
      </c>
      <c r="C121" s="9" t="s">
        <v>283</v>
      </c>
      <c r="D121" s="3" t="s">
        <v>31</v>
      </c>
      <c r="E121" s="3" t="s">
        <v>558</v>
      </c>
      <c r="F121" s="3" t="s">
        <v>559</v>
      </c>
      <c r="G121" s="12">
        <v>15716</v>
      </c>
      <c r="H121" s="12">
        <v>839</v>
      </c>
      <c r="I121" s="12">
        <v>639</v>
      </c>
      <c r="J121" s="12">
        <v>2839</v>
      </c>
      <c r="K121" s="13">
        <v>349</v>
      </c>
      <c r="L121" s="12">
        <v>150677</v>
      </c>
      <c r="M121" s="3" t="s">
        <v>28</v>
      </c>
      <c r="N121" s="30">
        <f>(G121 + H121 + I121 ) / L121</f>
        <v>0.11411164278556117</v>
      </c>
    </row>
    <row r="122" spans="1:14" ht="14.25" customHeight="1">
      <c r="A122" s="3" t="s">
        <v>332</v>
      </c>
      <c r="B122" s="3" t="s">
        <v>14</v>
      </c>
      <c r="C122" s="9" t="s">
        <v>333</v>
      </c>
      <c r="D122" s="3" t="s">
        <v>22</v>
      </c>
      <c r="E122" s="3" t="s">
        <v>547</v>
      </c>
      <c r="F122" s="3" t="s">
        <v>548</v>
      </c>
      <c r="G122" s="12">
        <v>21561</v>
      </c>
      <c r="H122" s="12">
        <v>340</v>
      </c>
      <c r="I122" s="12">
        <v>741</v>
      </c>
      <c r="J122" s="12">
        <v>986</v>
      </c>
      <c r="K122" s="13">
        <v>24826</v>
      </c>
      <c r="L122" s="12">
        <v>198492</v>
      </c>
      <c r="M122" s="3" t="s">
        <v>33</v>
      </c>
      <c r="N122" s="30">
        <f>(G122 + H122 + I122 ) / L122</f>
        <v>0.11407008846704149</v>
      </c>
    </row>
    <row r="123" spans="1:14" ht="14.25" customHeight="1">
      <c r="A123" s="3" t="s">
        <v>331</v>
      </c>
      <c r="B123" s="3" t="s">
        <v>20</v>
      </c>
      <c r="C123" s="10">
        <v>45936</v>
      </c>
      <c r="D123" s="3" t="s">
        <v>22</v>
      </c>
      <c r="E123" s="3" t="s">
        <v>558</v>
      </c>
      <c r="F123" s="3" t="s">
        <v>559</v>
      </c>
      <c r="G123" s="12">
        <v>22028</v>
      </c>
      <c r="H123" s="12">
        <v>355</v>
      </c>
      <c r="I123" s="12">
        <v>665</v>
      </c>
      <c r="J123" s="12">
        <v>1859</v>
      </c>
      <c r="K123" s="13">
        <v>50565</v>
      </c>
      <c r="L123" s="12">
        <v>202962</v>
      </c>
      <c r="M123" s="3" t="s">
        <v>37</v>
      </c>
      <c r="N123" s="30">
        <f>(G123 + H123 + I123 ) / L123</f>
        <v>0.11355820301337197</v>
      </c>
    </row>
    <row r="124" spans="1:14" ht="14.25" customHeight="1">
      <c r="A124" s="3" t="s">
        <v>330</v>
      </c>
      <c r="B124" s="3" t="s">
        <v>62</v>
      </c>
      <c r="C124" s="9" t="s">
        <v>314</v>
      </c>
      <c r="D124" s="3" t="s">
        <v>35</v>
      </c>
      <c r="E124" s="3" t="s">
        <v>561</v>
      </c>
      <c r="F124" s="3" t="s">
        <v>551</v>
      </c>
      <c r="G124" s="12">
        <v>20017</v>
      </c>
      <c r="H124" s="12">
        <v>495</v>
      </c>
      <c r="I124" s="12">
        <v>178</v>
      </c>
      <c r="J124" s="12">
        <v>2683</v>
      </c>
      <c r="K124" s="13">
        <v>32244</v>
      </c>
      <c r="L124" s="12">
        <v>182633</v>
      </c>
      <c r="M124" s="3" t="s">
        <v>33</v>
      </c>
      <c r="N124" s="30">
        <f>(G124 + H124 + I124 ) / L124</f>
        <v>0.11328730295182141</v>
      </c>
    </row>
    <row r="125" spans="1:14" ht="14.25" customHeight="1">
      <c r="A125" s="3" t="s">
        <v>328</v>
      </c>
      <c r="B125" s="3" t="s">
        <v>44</v>
      </c>
      <c r="C125" s="9" t="s">
        <v>329</v>
      </c>
      <c r="D125" s="3" t="s">
        <v>16</v>
      </c>
      <c r="E125" s="3" t="s">
        <v>560</v>
      </c>
      <c r="F125" s="3" t="s">
        <v>88</v>
      </c>
      <c r="G125" s="12">
        <v>14647</v>
      </c>
      <c r="H125" s="12">
        <v>1168</v>
      </c>
      <c r="I125" s="12">
        <v>484</v>
      </c>
      <c r="J125" s="12">
        <v>2650</v>
      </c>
      <c r="K125" s="13">
        <v>27217</v>
      </c>
      <c r="L125" s="12">
        <v>144061</v>
      </c>
      <c r="M125" s="3" t="s">
        <v>24</v>
      </c>
      <c r="N125" s="30">
        <f>(G125 + H125 + I125 ) / L125</f>
        <v>0.11313957281984714</v>
      </c>
    </row>
    <row r="126" spans="1:14" ht="14.25" customHeight="1">
      <c r="A126" s="3" t="s">
        <v>327</v>
      </c>
      <c r="B126" s="3" t="s">
        <v>44</v>
      </c>
      <c r="C126" s="10">
        <v>45935</v>
      </c>
      <c r="D126" s="3" t="s">
        <v>35</v>
      </c>
      <c r="E126" s="3" t="s">
        <v>547</v>
      </c>
      <c r="F126" s="3" t="s">
        <v>548</v>
      </c>
      <c r="G126" s="12">
        <v>21262</v>
      </c>
      <c r="H126" s="12">
        <v>861</v>
      </c>
      <c r="I126" s="12">
        <v>676</v>
      </c>
      <c r="J126" s="12">
        <v>2263</v>
      </c>
      <c r="K126" s="13">
        <v>12085</v>
      </c>
      <c r="L126" s="12">
        <v>201731</v>
      </c>
      <c r="M126" s="3" t="s">
        <v>37</v>
      </c>
      <c r="N126" s="30">
        <f>(G126 + H126 + I126 ) / L126</f>
        <v>0.11301683925623726</v>
      </c>
    </row>
    <row r="127" spans="1:14" ht="14.25" customHeight="1">
      <c r="A127" s="3" t="s">
        <v>325</v>
      </c>
      <c r="B127" s="3" t="s">
        <v>20</v>
      </c>
      <c r="C127" s="9" t="s">
        <v>326</v>
      </c>
      <c r="D127" s="3" t="s">
        <v>31</v>
      </c>
      <c r="E127" s="3" t="s">
        <v>561</v>
      </c>
      <c r="F127" s="3" t="s">
        <v>551</v>
      </c>
      <c r="G127" s="12">
        <v>15503</v>
      </c>
      <c r="H127" s="12">
        <v>313</v>
      </c>
      <c r="I127" s="12">
        <v>388</v>
      </c>
      <c r="J127" s="12">
        <v>1078</v>
      </c>
      <c r="K127" s="13">
        <v>11500</v>
      </c>
      <c r="L127" s="12">
        <v>143754</v>
      </c>
      <c r="M127" s="3" t="s">
        <v>24</v>
      </c>
      <c r="N127" s="30">
        <f>(G127 + H127 + I127 ) / L127</f>
        <v>0.1127203416948398</v>
      </c>
    </row>
    <row r="128" spans="1:14" ht="14.25" customHeight="1">
      <c r="A128" s="3" t="s">
        <v>324</v>
      </c>
      <c r="B128" s="3" t="s">
        <v>62</v>
      </c>
      <c r="C128" s="9" t="s">
        <v>181</v>
      </c>
      <c r="D128" s="3" t="s">
        <v>16</v>
      </c>
      <c r="E128" s="3" t="s">
        <v>551</v>
      </c>
      <c r="F128" s="3" t="s">
        <v>553</v>
      </c>
      <c r="G128" s="12">
        <v>12040</v>
      </c>
      <c r="H128" s="12">
        <v>1147</v>
      </c>
      <c r="I128" s="12">
        <v>210</v>
      </c>
      <c r="J128" s="12">
        <v>885</v>
      </c>
      <c r="K128" s="13">
        <v>30360</v>
      </c>
      <c r="L128" s="12">
        <v>119530</v>
      </c>
      <c r="M128" s="3" t="s">
        <v>24</v>
      </c>
      <c r="N128" s="30">
        <f>(G128 + H128 + I128 ) / L128</f>
        <v>0.1120806492094035</v>
      </c>
    </row>
    <row r="129" spans="1:14" ht="14.25" customHeight="1">
      <c r="A129" s="3" t="s">
        <v>323</v>
      </c>
      <c r="B129" s="3" t="s">
        <v>14</v>
      </c>
      <c r="C129" s="9" t="s">
        <v>131</v>
      </c>
      <c r="D129" s="3" t="s">
        <v>35</v>
      </c>
      <c r="E129" s="3" t="s">
        <v>556</v>
      </c>
      <c r="F129" s="3" t="s">
        <v>557</v>
      </c>
      <c r="G129" s="12">
        <v>19715</v>
      </c>
      <c r="H129" s="12">
        <v>1014</v>
      </c>
      <c r="I129" s="12">
        <v>718</v>
      </c>
      <c r="J129" s="12">
        <v>1185</v>
      </c>
      <c r="K129" s="13">
        <v>37625</v>
      </c>
      <c r="L129" s="12">
        <v>191409</v>
      </c>
      <c r="M129" s="3" t="s">
        <v>33</v>
      </c>
      <c r="N129" s="30">
        <f>(G129 + H129 + I129 ) / L129</f>
        <v>0.11204802282024356</v>
      </c>
    </row>
    <row r="130" spans="1:14" ht="14.25" customHeight="1">
      <c r="A130" s="3" t="s">
        <v>321</v>
      </c>
      <c r="B130" s="3" t="s">
        <v>62</v>
      </c>
      <c r="C130" s="9" t="s">
        <v>322</v>
      </c>
      <c r="D130" s="3" t="s">
        <v>22</v>
      </c>
      <c r="E130" s="3" t="s">
        <v>554</v>
      </c>
      <c r="F130" s="3" t="s">
        <v>555</v>
      </c>
      <c r="G130" s="12">
        <v>21123</v>
      </c>
      <c r="H130" s="12">
        <v>1343</v>
      </c>
      <c r="I130" s="12">
        <v>589</v>
      </c>
      <c r="J130" s="12">
        <v>727</v>
      </c>
      <c r="K130" s="13">
        <v>87833</v>
      </c>
      <c r="L130" s="12">
        <v>206703</v>
      </c>
      <c r="M130" s="3" t="s">
        <v>33</v>
      </c>
      <c r="N130" s="30">
        <f>(G130 + H130 + I130 ) / L130</f>
        <v>0.11153684271636116</v>
      </c>
    </row>
    <row r="131" spans="1:14" ht="14.25" customHeight="1">
      <c r="A131" s="3" t="s">
        <v>319</v>
      </c>
      <c r="B131" s="3" t="s">
        <v>14</v>
      </c>
      <c r="C131" s="9" t="s">
        <v>320</v>
      </c>
      <c r="D131" s="3" t="s">
        <v>35</v>
      </c>
      <c r="E131" s="3" t="s">
        <v>551</v>
      </c>
      <c r="F131" s="3" t="s">
        <v>552</v>
      </c>
      <c r="G131" s="12">
        <v>16512</v>
      </c>
      <c r="H131" s="12">
        <v>1050</v>
      </c>
      <c r="I131" s="12">
        <v>971</v>
      </c>
      <c r="J131" s="12">
        <v>1891</v>
      </c>
      <c r="K131" s="13">
        <v>15865</v>
      </c>
      <c r="L131" s="12">
        <v>166503</v>
      </c>
      <c r="M131" s="3" t="s">
        <v>24</v>
      </c>
      <c r="N131" s="30">
        <f>(G131 + H131 + I131 ) / L131</f>
        <v>0.1113073037723044</v>
      </c>
    </row>
    <row r="132" spans="1:14" ht="14.25" customHeight="1">
      <c r="A132" s="3" t="s">
        <v>317</v>
      </c>
      <c r="B132" s="3" t="s">
        <v>44</v>
      </c>
      <c r="C132" s="9" t="s">
        <v>318</v>
      </c>
      <c r="D132" s="3" t="s">
        <v>35</v>
      </c>
      <c r="E132" s="3" t="s">
        <v>558</v>
      </c>
      <c r="F132" s="3" t="s">
        <v>559</v>
      </c>
      <c r="G132" s="12">
        <v>19308</v>
      </c>
      <c r="H132" s="12">
        <v>1318</v>
      </c>
      <c r="I132" s="12">
        <v>795</v>
      </c>
      <c r="J132" s="12">
        <v>1499</v>
      </c>
      <c r="K132" s="13">
        <v>23275</v>
      </c>
      <c r="L132" s="12">
        <v>193087</v>
      </c>
      <c r="M132" s="3" t="s">
        <v>28</v>
      </c>
      <c r="N132" s="30">
        <f>(G132 + H132 + I132 ) / L132</f>
        <v>0.11093962825047776</v>
      </c>
    </row>
    <row r="133" spans="1:14" ht="14.25" customHeight="1">
      <c r="A133" s="3" t="s">
        <v>315</v>
      </c>
      <c r="B133" s="3" t="s">
        <v>20</v>
      </c>
      <c r="C133" s="9" t="s">
        <v>316</v>
      </c>
      <c r="D133" s="3" t="s">
        <v>35</v>
      </c>
      <c r="E133" s="3" t="s">
        <v>560</v>
      </c>
      <c r="F133" s="3" t="s">
        <v>88</v>
      </c>
      <c r="G133" s="12">
        <v>18907</v>
      </c>
      <c r="H133" s="12">
        <v>1075</v>
      </c>
      <c r="I133" s="12">
        <v>675</v>
      </c>
      <c r="J133" s="12">
        <v>1383</v>
      </c>
      <c r="K133" s="13">
        <v>17875</v>
      </c>
      <c r="L133" s="12">
        <v>186649</v>
      </c>
      <c r="M133" s="3" t="s">
        <v>33</v>
      </c>
      <c r="N133" s="30">
        <f>(G133 + H133 + I133 ) / L133</f>
        <v>0.11067297440650634</v>
      </c>
    </row>
    <row r="134" spans="1:14" ht="14.25" customHeight="1">
      <c r="A134" s="3" t="s">
        <v>313</v>
      </c>
      <c r="B134" s="3" t="s">
        <v>20</v>
      </c>
      <c r="C134" s="9" t="s">
        <v>314</v>
      </c>
      <c r="D134" s="3" t="s">
        <v>22</v>
      </c>
      <c r="E134" s="3" t="s">
        <v>547</v>
      </c>
      <c r="F134" s="3" t="s">
        <v>548</v>
      </c>
      <c r="G134" s="12">
        <v>20410</v>
      </c>
      <c r="H134" s="12">
        <v>1332</v>
      </c>
      <c r="I134" s="12">
        <v>472</v>
      </c>
      <c r="J134" s="12">
        <v>1202</v>
      </c>
      <c r="K134" s="13">
        <v>9418</v>
      </c>
      <c r="L134" s="12">
        <v>200806</v>
      </c>
      <c r="M134" s="3" t="s">
        <v>33</v>
      </c>
      <c r="N134" s="30">
        <f>(G134 + H134 + I134 ) / L134</f>
        <v>0.11062418453631864</v>
      </c>
    </row>
    <row r="135" spans="1:14" ht="14.25" customHeight="1">
      <c r="A135" s="3" t="s">
        <v>311</v>
      </c>
      <c r="B135" s="3" t="s">
        <v>14</v>
      </c>
      <c r="C135" s="9" t="s">
        <v>312</v>
      </c>
      <c r="D135" s="3" t="s">
        <v>35</v>
      </c>
      <c r="E135" s="3" t="s">
        <v>551</v>
      </c>
      <c r="F135" s="3" t="s">
        <v>553</v>
      </c>
      <c r="G135" s="12">
        <v>20117</v>
      </c>
      <c r="H135" s="12">
        <v>1143</v>
      </c>
      <c r="I135" s="12">
        <v>713</v>
      </c>
      <c r="J135" s="12">
        <v>1739</v>
      </c>
      <c r="K135" s="13">
        <v>34444</v>
      </c>
      <c r="L135" s="12">
        <v>198670</v>
      </c>
      <c r="M135" s="3" t="s">
        <v>18</v>
      </c>
      <c r="N135" s="30">
        <f>(G135 + H135 + I135 ) / L135</f>
        <v>0.11060049328031409</v>
      </c>
    </row>
    <row r="136" spans="1:14" ht="14.25" customHeight="1">
      <c r="A136" s="3" t="s">
        <v>309</v>
      </c>
      <c r="B136" s="3" t="s">
        <v>14</v>
      </c>
      <c r="C136" s="9" t="s">
        <v>310</v>
      </c>
      <c r="D136" s="3" t="s">
        <v>31</v>
      </c>
      <c r="E136" s="3" t="s">
        <v>551</v>
      </c>
      <c r="F136" s="3" t="s">
        <v>553</v>
      </c>
      <c r="G136" s="12">
        <v>22618</v>
      </c>
      <c r="H136" s="12">
        <v>641</v>
      </c>
      <c r="I136" s="12">
        <v>416</v>
      </c>
      <c r="J136" s="12">
        <v>1530</v>
      </c>
      <c r="K136" s="13">
        <v>18395</v>
      </c>
      <c r="L136" s="12">
        <v>215211</v>
      </c>
      <c r="M136" s="3" t="s">
        <v>18</v>
      </c>
      <c r="N136" s="30">
        <f>(G136 + H136 + I136 ) / L136</f>
        <v>0.1100083174187193</v>
      </c>
    </row>
    <row r="137" spans="1:14" ht="14.25" customHeight="1">
      <c r="A137" s="3" t="s">
        <v>308</v>
      </c>
      <c r="B137" s="3" t="s">
        <v>62</v>
      </c>
      <c r="C137" s="9" t="s">
        <v>69</v>
      </c>
      <c r="D137" s="3" t="s">
        <v>22</v>
      </c>
      <c r="E137" s="3" t="s">
        <v>549</v>
      </c>
      <c r="F137" s="3" t="s">
        <v>550</v>
      </c>
      <c r="G137" s="12">
        <v>20935</v>
      </c>
      <c r="H137" s="12">
        <v>1104</v>
      </c>
      <c r="I137" s="12">
        <v>876</v>
      </c>
      <c r="J137" s="12">
        <v>1270</v>
      </c>
      <c r="K137" s="13">
        <v>21454</v>
      </c>
      <c r="L137" s="12">
        <v>208722</v>
      </c>
      <c r="M137" s="3" t="s">
        <v>28</v>
      </c>
      <c r="N137" s="30">
        <f>(G137 + H137 + I137 ) / L137</f>
        <v>0.10978718103506099</v>
      </c>
    </row>
    <row r="138" spans="1:14" ht="14.25" customHeight="1">
      <c r="A138" s="3" t="s">
        <v>307</v>
      </c>
      <c r="B138" s="3" t="s">
        <v>44</v>
      </c>
      <c r="C138" s="9" t="s">
        <v>78</v>
      </c>
      <c r="D138" s="3" t="s">
        <v>22</v>
      </c>
      <c r="E138" s="3" t="s">
        <v>556</v>
      </c>
      <c r="F138" s="3" t="s">
        <v>557</v>
      </c>
      <c r="G138" s="12">
        <v>24574</v>
      </c>
      <c r="H138" s="12">
        <v>909</v>
      </c>
      <c r="I138" s="12">
        <v>280</v>
      </c>
      <c r="J138" s="12">
        <v>2009</v>
      </c>
      <c r="K138" s="13">
        <v>6221</v>
      </c>
      <c r="L138" s="12">
        <v>236910</v>
      </c>
      <c r="M138" s="3" t="s">
        <v>18</v>
      </c>
      <c r="N138" s="30">
        <f>(G138 + H138 + I138 ) / L138</f>
        <v>0.10874593727575872</v>
      </c>
    </row>
    <row r="139" spans="1:14" ht="14.25" customHeight="1">
      <c r="A139" s="3" t="s">
        <v>306</v>
      </c>
      <c r="B139" s="3" t="s">
        <v>14</v>
      </c>
      <c r="C139" s="10">
        <v>45911</v>
      </c>
      <c r="D139" s="3" t="s">
        <v>16</v>
      </c>
      <c r="E139" s="3" t="s">
        <v>561</v>
      </c>
      <c r="F139" s="3" t="s">
        <v>551</v>
      </c>
      <c r="G139" s="12">
        <v>10175</v>
      </c>
      <c r="H139" s="12">
        <v>342</v>
      </c>
      <c r="I139" s="12">
        <v>825</v>
      </c>
      <c r="J139" s="12">
        <v>2904</v>
      </c>
      <c r="K139" s="13">
        <v>15954</v>
      </c>
      <c r="L139" s="12">
        <v>104324</v>
      </c>
      <c r="M139" s="3" t="s">
        <v>37</v>
      </c>
      <c r="N139" s="30">
        <f>(G139 + H139 + I139 ) / L139</f>
        <v>0.10871899083624094</v>
      </c>
    </row>
    <row r="140" spans="1:14" ht="14.25" customHeight="1">
      <c r="A140" s="3" t="s">
        <v>304</v>
      </c>
      <c r="B140" s="3" t="s">
        <v>62</v>
      </c>
      <c r="C140" s="9" t="s">
        <v>305</v>
      </c>
      <c r="D140" s="3" t="s">
        <v>31</v>
      </c>
      <c r="E140" s="3" t="s">
        <v>554</v>
      </c>
      <c r="F140" s="3" t="s">
        <v>555</v>
      </c>
      <c r="G140" s="12">
        <v>20030</v>
      </c>
      <c r="H140" s="12">
        <v>485</v>
      </c>
      <c r="I140" s="12">
        <v>888</v>
      </c>
      <c r="J140" s="12">
        <v>1643</v>
      </c>
      <c r="K140" s="13">
        <v>4322</v>
      </c>
      <c r="L140" s="12">
        <v>196995</v>
      </c>
      <c r="M140" s="3" t="s">
        <v>28</v>
      </c>
      <c r="N140" s="30">
        <f>(G140 + H140 + I140 ) / L140</f>
        <v>0.10864742759968526</v>
      </c>
    </row>
    <row r="141" spans="1:14" ht="14.25" customHeight="1">
      <c r="A141" s="3" t="s">
        <v>303</v>
      </c>
      <c r="B141" s="3" t="s">
        <v>62</v>
      </c>
      <c r="C141" s="10">
        <v>45919</v>
      </c>
      <c r="D141" s="3" t="s">
        <v>31</v>
      </c>
      <c r="E141" s="3" t="s">
        <v>554</v>
      </c>
      <c r="F141" s="3" t="s">
        <v>555</v>
      </c>
      <c r="G141" s="12">
        <v>19100</v>
      </c>
      <c r="H141" s="12">
        <v>619</v>
      </c>
      <c r="I141" s="12">
        <v>297</v>
      </c>
      <c r="J141" s="12">
        <v>2312</v>
      </c>
      <c r="K141" s="13">
        <v>9730</v>
      </c>
      <c r="L141" s="12">
        <v>184832</v>
      </c>
      <c r="M141" s="3" t="s">
        <v>37</v>
      </c>
      <c r="N141" s="30">
        <f>(G141 + H141 + I141 ) / L141</f>
        <v>0.10829293628808864</v>
      </c>
    </row>
    <row r="142" spans="1:14" ht="14.25" customHeight="1">
      <c r="A142" s="3" t="s">
        <v>302</v>
      </c>
      <c r="B142" s="3" t="s">
        <v>44</v>
      </c>
      <c r="C142" s="10">
        <v>45920</v>
      </c>
      <c r="D142" s="3" t="s">
        <v>31</v>
      </c>
      <c r="E142" s="3" t="s">
        <v>554</v>
      </c>
      <c r="F142" s="3" t="s">
        <v>555</v>
      </c>
      <c r="G142" s="12">
        <v>12267</v>
      </c>
      <c r="H142" s="12">
        <v>1487</v>
      </c>
      <c r="I142" s="12">
        <v>489</v>
      </c>
      <c r="J142" s="12">
        <v>2748</v>
      </c>
      <c r="K142" s="13">
        <v>34685</v>
      </c>
      <c r="L142" s="12">
        <v>131736</v>
      </c>
      <c r="M142" s="3" t="s">
        <v>37</v>
      </c>
      <c r="N142" s="30">
        <f>(G142 + H142 + I142 ) / L142</f>
        <v>0.1081177506528208</v>
      </c>
    </row>
    <row r="143" spans="1:14" ht="14.25" customHeight="1">
      <c r="A143" s="3" t="s">
        <v>301</v>
      </c>
      <c r="B143" s="3" t="s">
        <v>62</v>
      </c>
      <c r="C143" s="9" t="s">
        <v>179</v>
      </c>
      <c r="D143" s="3" t="s">
        <v>35</v>
      </c>
      <c r="E143" s="3" t="s">
        <v>560</v>
      </c>
      <c r="F143" s="3" t="s">
        <v>88</v>
      </c>
      <c r="G143" s="12">
        <v>22673</v>
      </c>
      <c r="H143" s="12">
        <v>1053</v>
      </c>
      <c r="I143" s="12">
        <v>169</v>
      </c>
      <c r="J143" s="12">
        <v>1566</v>
      </c>
      <c r="K143" s="13">
        <v>9417</v>
      </c>
      <c r="L143" s="12">
        <v>221187</v>
      </c>
      <c r="M143" s="3" t="s">
        <v>24</v>
      </c>
      <c r="N143" s="30">
        <f>(G143 + H143 + I143 ) / L143</f>
        <v>0.10803076130152314</v>
      </c>
    </row>
    <row r="144" spans="1:14" ht="14.25" customHeight="1">
      <c r="A144" s="3" t="s">
        <v>299</v>
      </c>
      <c r="B144" s="3" t="s">
        <v>14</v>
      </c>
      <c r="C144" s="9" t="s">
        <v>300</v>
      </c>
      <c r="D144" s="3" t="s">
        <v>16</v>
      </c>
      <c r="E144" s="3" t="s">
        <v>51</v>
      </c>
      <c r="F144" s="3"/>
      <c r="G144" s="12">
        <v>24700</v>
      </c>
      <c r="H144" s="12">
        <v>327</v>
      </c>
      <c r="I144" s="12">
        <v>999</v>
      </c>
      <c r="J144" s="12">
        <v>994</v>
      </c>
      <c r="K144" s="13">
        <v>59400</v>
      </c>
      <c r="L144" s="12">
        <v>243502</v>
      </c>
      <c r="M144" s="3" t="s">
        <v>28</v>
      </c>
      <c r="N144" s="30">
        <f>(G144 + H144 + I144 ) / L144</f>
        <v>0.10688207899729776</v>
      </c>
    </row>
    <row r="145" spans="1:14" ht="14.25" customHeight="1">
      <c r="A145" s="3" t="s">
        <v>298</v>
      </c>
      <c r="B145" s="3" t="s">
        <v>20</v>
      </c>
      <c r="C145" s="10">
        <v>45941</v>
      </c>
      <c r="D145" s="3" t="s">
        <v>16</v>
      </c>
      <c r="E145" s="3" t="s">
        <v>554</v>
      </c>
      <c r="F145" s="3" t="s">
        <v>555</v>
      </c>
      <c r="G145" s="12">
        <v>15623</v>
      </c>
      <c r="H145" s="12">
        <v>869</v>
      </c>
      <c r="I145" s="12">
        <v>423</v>
      </c>
      <c r="J145" s="12">
        <v>371</v>
      </c>
      <c r="K145" s="13">
        <v>47579</v>
      </c>
      <c r="L145" s="12">
        <v>158516</v>
      </c>
      <c r="M145" s="3" t="s">
        <v>37</v>
      </c>
      <c r="N145" s="30">
        <f>(G145 + H145 + I145 ) / L145</f>
        <v>0.10670847106916652</v>
      </c>
    </row>
    <row r="146" spans="1:14" ht="14.25" customHeight="1">
      <c r="A146" s="3" t="s">
        <v>296</v>
      </c>
      <c r="B146" s="3" t="s">
        <v>20</v>
      </c>
      <c r="C146" s="9" t="s">
        <v>297</v>
      </c>
      <c r="D146" s="3" t="s">
        <v>22</v>
      </c>
      <c r="E146" s="3" t="s">
        <v>558</v>
      </c>
      <c r="F146" s="3" t="s">
        <v>559</v>
      </c>
      <c r="G146" s="12">
        <v>18616</v>
      </c>
      <c r="H146" s="12">
        <v>1277</v>
      </c>
      <c r="I146" s="12">
        <v>734</v>
      </c>
      <c r="J146" s="12">
        <v>2249</v>
      </c>
      <c r="K146" s="13">
        <v>3399</v>
      </c>
      <c r="L146" s="12">
        <v>193515</v>
      </c>
      <c r="M146" s="3" t="s">
        <v>24</v>
      </c>
      <c r="N146" s="30">
        <f>(G146 + H146 + I146 ) / L146</f>
        <v>0.10659122031883833</v>
      </c>
    </row>
    <row r="147" spans="1:14" ht="14.25" customHeight="1">
      <c r="A147" s="3" t="s">
        <v>294</v>
      </c>
      <c r="B147" s="3" t="s">
        <v>14</v>
      </c>
      <c r="C147" s="9" t="s">
        <v>295</v>
      </c>
      <c r="D147" s="3" t="s">
        <v>35</v>
      </c>
      <c r="E147" s="3" t="s">
        <v>560</v>
      </c>
      <c r="F147" s="3" t="s">
        <v>88</v>
      </c>
      <c r="G147" s="12">
        <v>14819</v>
      </c>
      <c r="H147" s="12">
        <v>1432</v>
      </c>
      <c r="I147" s="12">
        <v>152</v>
      </c>
      <c r="J147" s="12">
        <v>961</v>
      </c>
      <c r="K147" s="13">
        <v>39154</v>
      </c>
      <c r="L147" s="12">
        <v>154793</v>
      </c>
      <c r="M147" s="3" t="s">
        <v>24</v>
      </c>
      <c r="N147" s="30">
        <f>(G147 + H147 + I147 ) / L147</f>
        <v>0.10596732410380315</v>
      </c>
    </row>
    <row r="148" spans="1:14" ht="14.25" customHeight="1">
      <c r="A148" s="3" t="s">
        <v>293</v>
      </c>
      <c r="B148" s="3" t="s">
        <v>14</v>
      </c>
      <c r="C148" s="10">
        <v>45919</v>
      </c>
      <c r="D148" s="3" t="s">
        <v>16</v>
      </c>
      <c r="E148" s="3" t="s">
        <v>551</v>
      </c>
      <c r="F148" s="3" t="s">
        <v>553</v>
      </c>
      <c r="G148" s="12">
        <v>14772</v>
      </c>
      <c r="H148" s="12">
        <v>1030</v>
      </c>
      <c r="I148" s="12">
        <v>508</v>
      </c>
      <c r="J148" s="12">
        <v>1876</v>
      </c>
      <c r="K148" s="13">
        <v>8882</v>
      </c>
      <c r="L148" s="12">
        <v>155142</v>
      </c>
      <c r="M148" s="3" t="s">
        <v>37</v>
      </c>
      <c r="N148" s="30">
        <f>(G148 + H148 + I148 ) / L148</f>
        <v>0.10512949426976577</v>
      </c>
    </row>
    <row r="149" spans="1:14" ht="14.25" customHeight="1">
      <c r="A149" s="3" t="s">
        <v>291</v>
      </c>
      <c r="B149" s="3" t="s">
        <v>14</v>
      </c>
      <c r="C149" s="9" t="s">
        <v>292</v>
      </c>
      <c r="D149" s="3" t="s">
        <v>16</v>
      </c>
      <c r="E149" s="3" t="s">
        <v>562</v>
      </c>
      <c r="F149" s="3" t="s">
        <v>563</v>
      </c>
      <c r="G149" s="12">
        <v>3619</v>
      </c>
      <c r="H149" s="12">
        <v>1376</v>
      </c>
      <c r="I149" s="12">
        <v>410</v>
      </c>
      <c r="J149" s="12">
        <v>2499</v>
      </c>
      <c r="K149" s="13">
        <v>58146</v>
      </c>
      <c r="L149" s="12">
        <v>52149</v>
      </c>
      <c r="M149" s="3" t="s">
        <v>33</v>
      </c>
      <c r="N149" s="30">
        <f>(G149 + H149 + I149 ) / L149</f>
        <v>0.10364532397553165</v>
      </c>
    </row>
    <row r="150" spans="1:14" ht="14.25" customHeight="1">
      <c r="A150" s="3" t="s">
        <v>290</v>
      </c>
      <c r="B150" s="3" t="s">
        <v>14</v>
      </c>
      <c r="C150" s="10">
        <v>45911</v>
      </c>
      <c r="D150" s="3" t="s">
        <v>22</v>
      </c>
      <c r="E150" s="3" t="s">
        <v>547</v>
      </c>
      <c r="F150" s="3" t="s">
        <v>548</v>
      </c>
      <c r="G150" s="12">
        <v>21901</v>
      </c>
      <c r="H150" s="12">
        <v>1308</v>
      </c>
      <c r="I150" s="12">
        <v>724</v>
      </c>
      <c r="J150" s="12">
        <v>2183</v>
      </c>
      <c r="K150" s="13">
        <v>15996</v>
      </c>
      <c r="L150" s="12">
        <v>230961</v>
      </c>
      <c r="M150" s="3" t="s">
        <v>37</v>
      </c>
      <c r="N150" s="30">
        <f>(G150 + H150 + I150 ) / L150</f>
        <v>0.10362355549205277</v>
      </c>
    </row>
    <row r="151" spans="1:14" ht="14.25" customHeight="1">
      <c r="A151" s="3" t="s">
        <v>288</v>
      </c>
      <c r="B151" s="3" t="s">
        <v>14</v>
      </c>
      <c r="C151" s="9" t="s">
        <v>289</v>
      </c>
      <c r="D151" s="3" t="s">
        <v>35</v>
      </c>
      <c r="E151" s="3" t="s">
        <v>561</v>
      </c>
      <c r="F151" s="3" t="s">
        <v>551</v>
      </c>
      <c r="G151" s="12">
        <v>22119</v>
      </c>
      <c r="H151" s="12">
        <v>899</v>
      </c>
      <c r="I151" s="12">
        <v>642</v>
      </c>
      <c r="J151" s="12">
        <v>410</v>
      </c>
      <c r="K151" s="13">
        <v>49490</v>
      </c>
      <c r="L151" s="12">
        <v>229420</v>
      </c>
      <c r="M151" s="3" t="s">
        <v>24</v>
      </c>
      <c r="N151" s="30">
        <f>(G151 + H151 + I151 ) / L151</f>
        <v>0.10312963124400662</v>
      </c>
    </row>
    <row r="152" spans="1:14" ht="14.25" customHeight="1">
      <c r="A152" s="3" t="s">
        <v>287</v>
      </c>
      <c r="B152" s="3" t="s">
        <v>14</v>
      </c>
      <c r="C152" s="10">
        <v>45920</v>
      </c>
      <c r="D152" s="3" t="s">
        <v>31</v>
      </c>
      <c r="E152" s="3" t="s">
        <v>88</v>
      </c>
      <c r="F152" s="3"/>
      <c r="G152" s="12">
        <v>24422</v>
      </c>
      <c r="H152" s="12">
        <v>327</v>
      </c>
      <c r="I152" s="12">
        <v>481</v>
      </c>
      <c r="J152" s="12">
        <v>2371</v>
      </c>
      <c r="K152" s="13">
        <v>35340</v>
      </c>
      <c r="L152" s="12">
        <v>245244</v>
      </c>
      <c r="M152" s="3" t="s">
        <v>37</v>
      </c>
      <c r="N152" s="30">
        <f>(G152 + H152 + I152 ) / L152</f>
        <v>0.10287713460879777</v>
      </c>
    </row>
    <row r="153" spans="1:14" ht="14.25" customHeight="1">
      <c r="A153" s="3" t="s">
        <v>286</v>
      </c>
      <c r="B153" s="3" t="s">
        <v>62</v>
      </c>
      <c r="C153" s="9" t="s">
        <v>126</v>
      </c>
      <c r="D153" s="3" t="s">
        <v>16</v>
      </c>
      <c r="E153" s="3" t="s">
        <v>558</v>
      </c>
      <c r="F153" s="3" t="s">
        <v>559</v>
      </c>
      <c r="G153" s="12">
        <v>7622</v>
      </c>
      <c r="H153" s="12">
        <v>529</v>
      </c>
      <c r="I153" s="12">
        <v>720</v>
      </c>
      <c r="J153" s="12">
        <v>1015</v>
      </c>
      <c r="K153" s="13">
        <v>71322</v>
      </c>
      <c r="L153" s="12">
        <v>86819</v>
      </c>
      <c r="M153" s="3" t="s">
        <v>18</v>
      </c>
      <c r="N153" s="30">
        <f>(G153 + H153 + I153 ) / L153</f>
        <v>0.10217809465669957</v>
      </c>
    </row>
    <row r="154" spans="1:14" ht="14.25" customHeight="1">
      <c r="A154" s="3" t="s">
        <v>284</v>
      </c>
      <c r="B154" s="3" t="s">
        <v>44</v>
      </c>
      <c r="C154" s="9" t="s">
        <v>285</v>
      </c>
      <c r="D154" s="3" t="s">
        <v>35</v>
      </c>
      <c r="E154" s="3" t="s">
        <v>551</v>
      </c>
      <c r="F154" s="3" t="s">
        <v>552</v>
      </c>
      <c r="G154" s="12">
        <v>24195</v>
      </c>
      <c r="H154" s="12">
        <v>888</v>
      </c>
      <c r="I154" s="12">
        <v>165</v>
      </c>
      <c r="J154" s="12">
        <v>1559</v>
      </c>
      <c r="K154" s="13">
        <v>11596</v>
      </c>
      <c r="L154" s="12">
        <v>249988</v>
      </c>
      <c r="M154" s="3" t="s">
        <v>28</v>
      </c>
      <c r="N154" s="30">
        <f>(G154 + H154 + I154 ) / L154</f>
        <v>0.10099684784869674</v>
      </c>
    </row>
    <row r="155" spans="1:14" ht="14.25" customHeight="1">
      <c r="A155" s="3" t="s">
        <v>282</v>
      </c>
      <c r="B155" s="3" t="s">
        <v>44</v>
      </c>
      <c r="C155" s="9" t="s">
        <v>283</v>
      </c>
      <c r="D155" s="3" t="s">
        <v>22</v>
      </c>
      <c r="E155" s="3" t="s">
        <v>560</v>
      </c>
      <c r="F155" s="3" t="s">
        <v>88</v>
      </c>
      <c r="G155" s="12">
        <v>9350</v>
      </c>
      <c r="H155" s="12">
        <v>1024</v>
      </c>
      <c r="I155" s="12">
        <v>550</v>
      </c>
      <c r="J155" s="12">
        <v>2123</v>
      </c>
      <c r="K155" s="13">
        <v>53916</v>
      </c>
      <c r="L155" s="12">
        <v>108785</v>
      </c>
      <c r="M155" s="3" t="s">
        <v>28</v>
      </c>
      <c r="N155" s="30">
        <f>(G155 + H155 + I155 ) / L155</f>
        <v>0.10041825619340902</v>
      </c>
    </row>
    <row r="156" spans="1:14" ht="14.25" customHeight="1">
      <c r="A156" s="3" t="s">
        <v>280</v>
      </c>
      <c r="B156" s="3" t="s">
        <v>44</v>
      </c>
      <c r="C156" s="9" t="s">
        <v>281</v>
      </c>
      <c r="D156" s="3" t="s">
        <v>22</v>
      </c>
      <c r="E156" s="3" t="s">
        <v>51</v>
      </c>
      <c r="F156" s="3"/>
      <c r="G156" s="12">
        <v>11111</v>
      </c>
      <c r="H156" s="12">
        <v>1222</v>
      </c>
      <c r="I156" s="12">
        <v>367</v>
      </c>
      <c r="J156" s="12">
        <v>507</v>
      </c>
      <c r="K156" s="13">
        <v>14129</v>
      </c>
      <c r="L156" s="12">
        <v>127163</v>
      </c>
      <c r="M156" s="3" t="s">
        <v>18</v>
      </c>
      <c r="N156" s="30">
        <f>(G156 + H156 + I156 ) / L156</f>
        <v>9.9871818060284834E-2</v>
      </c>
    </row>
    <row r="157" spans="1:14" ht="14.25" customHeight="1">
      <c r="A157" s="3" t="s">
        <v>279</v>
      </c>
      <c r="B157" s="3" t="s">
        <v>62</v>
      </c>
      <c r="C157" s="10">
        <v>45937</v>
      </c>
      <c r="D157" s="3" t="s">
        <v>16</v>
      </c>
      <c r="E157" s="3" t="s">
        <v>554</v>
      </c>
      <c r="F157" s="3" t="s">
        <v>555</v>
      </c>
      <c r="G157" s="12">
        <v>19660</v>
      </c>
      <c r="H157" s="12">
        <v>1307</v>
      </c>
      <c r="I157" s="12">
        <v>310</v>
      </c>
      <c r="J157" s="12">
        <v>2802</v>
      </c>
      <c r="K157" s="13">
        <v>22171</v>
      </c>
      <c r="L157" s="12">
        <v>213359</v>
      </c>
      <c r="M157" s="3" t="s">
        <v>37</v>
      </c>
      <c r="N157" s="30">
        <f>(G157 + H157 + I157 ) / L157</f>
        <v>9.9723939463533293E-2</v>
      </c>
    </row>
    <row r="158" spans="1:14" ht="14.25" customHeight="1">
      <c r="A158" s="3" t="s">
        <v>278</v>
      </c>
      <c r="B158" s="3" t="s">
        <v>62</v>
      </c>
      <c r="C158" s="9" t="s">
        <v>150</v>
      </c>
      <c r="D158" s="3" t="s">
        <v>22</v>
      </c>
      <c r="E158" s="3" t="s">
        <v>561</v>
      </c>
      <c r="F158" s="3" t="s">
        <v>551</v>
      </c>
      <c r="G158" s="12">
        <v>20222</v>
      </c>
      <c r="H158" s="12">
        <v>712</v>
      </c>
      <c r="I158" s="12">
        <v>604</v>
      </c>
      <c r="J158" s="12">
        <v>1272</v>
      </c>
      <c r="K158" s="13">
        <v>23275</v>
      </c>
      <c r="L158" s="12">
        <v>216422</v>
      </c>
      <c r="M158" s="3" t="s">
        <v>28</v>
      </c>
      <c r="N158" s="30">
        <f>(G158 + H158 + I158 ) / L158</f>
        <v>9.9518533235992648E-2</v>
      </c>
    </row>
    <row r="159" spans="1:14" ht="14.25" customHeight="1">
      <c r="A159" s="3" t="s">
        <v>277</v>
      </c>
      <c r="B159" s="3" t="s">
        <v>62</v>
      </c>
      <c r="C159" s="10">
        <v>45927</v>
      </c>
      <c r="D159" s="3" t="s">
        <v>35</v>
      </c>
      <c r="E159" s="3" t="s">
        <v>556</v>
      </c>
      <c r="F159" s="3" t="s">
        <v>557</v>
      </c>
      <c r="G159" s="12">
        <v>18521</v>
      </c>
      <c r="H159" s="12">
        <v>1027</v>
      </c>
      <c r="I159" s="12">
        <v>230</v>
      </c>
      <c r="J159" s="12">
        <v>1247</v>
      </c>
      <c r="K159" s="13">
        <v>39588</v>
      </c>
      <c r="L159" s="12">
        <v>200928</v>
      </c>
      <c r="M159" s="3" t="s">
        <v>37</v>
      </c>
      <c r="N159" s="30">
        <f>(G159 + H159 + I159 ) / L159</f>
        <v>9.8433269628921807E-2</v>
      </c>
    </row>
    <row r="160" spans="1:14" ht="14.25" customHeight="1">
      <c r="A160" s="3" t="s">
        <v>276</v>
      </c>
      <c r="B160" s="3" t="s">
        <v>62</v>
      </c>
      <c r="C160" s="9" t="s">
        <v>235</v>
      </c>
      <c r="D160" s="3" t="s">
        <v>22</v>
      </c>
      <c r="E160" s="3" t="s">
        <v>88</v>
      </c>
      <c r="F160" s="3"/>
      <c r="G160" s="12">
        <v>14234</v>
      </c>
      <c r="H160" s="12">
        <v>1013</v>
      </c>
      <c r="I160" s="12">
        <v>437</v>
      </c>
      <c r="J160" s="12">
        <v>338</v>
      </c>
      <c r="K160" s="13">
        <v>67754</v>
      </c>
      <c r="L160" s="12">
        <v>160030</v>
      </c>
      <c r="M160" s="3" t="s">
        <v>28</v>
      </c>
      <c r="N160" s="30">
        <f>(G160 + H160 + I160 ) / L160</f>
        <v>9.8006623758045364E-2</v>
      </c>
    </row>
    <row r="161" spans="1:14" ht="14.25" customHeight="1">
      <c r="A161" s="3" t="s">
        <v>275</v>
      </c>
      <c r="B161" s="3" t="s">
        <v>14</v>
      </c>
      <c r="C161" s="10">
        <v>45916</v>
      </c>
      <c r="D161" s="3" t="s">
        <v>31</v>
      </c>
      <c r="E161" s="3" t="s">
        <v>51</v>
      </c>
      <c r="F161" s="3"/>
      <c r="G161" s="12">
        <v>16043</v>
      </c>
      <c r="H161" s="12">
        <v>595</v>
      </c>
      <c r="I161" s="12">
        <v>923</v>
      </c>
      <c r="J161" s="12">
        <v>1194</v>
      </c>
      <c r="K161" s="13">
        <v>52613</v>
      </c>
      <c r="L161" s="12">
        <v>179978</v>
      </c>
      <c r="M161" s="3" t="s">
        <v>37</v>
      </c>
      <c r="N161" s="30">
        <f>(G161 + H161 + I161 ) / L161</f>
        <v>9.757303670448611E-2</v>
      </c>
    </row>
    <row r="162" spans="1:14" ht="14.25" customHeight="1">
      <c r="A162" s="3" t="s">
        <v>273</v>
      </c>
      <c r="B162" s="3" t="s">
        <v>62</v>
      </c>
      <c r="C162" s="9" t="s">
        <v>274</v>
      </c>
      <c r="D162" s="3" t="s">
        <v>31</v>
      </c>
      <c r="E162" s="3" t="s">
        <v>558</v>
      </c>
      <c r="F162" s="3" t="s">
        <v>559</v>
      </c>
      <c r="G162" s="12">
        <v>6300</v>
      </c>
      <c r="H162" s="12">
        <v>1213</v>
      </c>
      <c r="I162" s="12">
        <v>720</v>
      </c>
      <c r="J162" s="12">
        <v>1037</v>
      </c>
      <c r="K162" s="13">
        <v>39569</v>
      </c>
      <c r="L162" s="12">
        <v>85272</v>
      </c>
      <c r="M162" s="3" t="s">
        <v>24</v>
      </c>
      <c r="N162" s="30">
        <f>(G162 + H162 + I162 ) / L162</f>
        <v>9.6549863964724647E-2</v>
      </c>
    </row>
    <row r="163" spans="1:14" ht="14.25" customHeight="1">
      <c r="A163" s="3" t="s">
        <v>272</v>
      </c>
      <c r="B163" s="3" t="s">
        <v>14</v>
      </c>
      <c r="C163" s="9" t="s">
        <v>76</v>
      </c>
      <c r="D163" s="3" t="s">
        <v>35</v>
      </c>
      <c r="E163" s="3" t="s">
        <v>556</v>
      </c>
      <c r="F163" s="3" t="s">
        <v>557</v>
      </c>
      <c r="G163" s="12">
        <v>5596</v>
      </c>
      <c r="H163" s="12">
        <v>1231</v>
      </c>
      <c r="I163" s="12">
        <v>473</v>
      </c>
      <c r="J163" s="12">
        <v>2251</v>
      </c>
      <c r="K163" s="13">
        <v>43705</v>
      </c>
      <c r="L163" s="12">
        <v>75643</v>
      </c>
      <c r="M163" s="3" t="s">
        <v>33</v>
      </c>
      <c r="N163" s="30">
        <f>(G163 + H163 + I163 ) / L163</f>
        <v>9.6505955607260427E-2</v>
      </c>
    </row>
    <row r="164" spans="1:14" ht="14.25" customHeight="1">
      <c r="A164" s="3" t="s">
        <v>270</v>
      </c>
      <c r="B164" s="3" t="s">
        <v>44</v>
      </c>
      <c r="C164" s="9" t="s">
        <v>271</v>
      </c>
      <c r="D164" s="3" t="s">
        <v>35</v>
      </c>
      <c r="E164" s="3" t="s">
        <v>88</v>
      </c>
      <c r="F164" s="3"/>
      <c r="G164" s="12">
        <v>2846</v>
      </c>
      <c r="H164" s="12">
        <v>792</v>
      </c>
      <c r="I164" s="12">
        <v>902</v>
      </c>
      <c r="J164" s="12">
        <v>2469</v>
      </c>
      <c r="K164" s="13">
        <v>12130</v>
      </c>
      <c r="L164" s="12">
        <v>47151</v>
      </c>
      <c r="M164" s="3" t="s">
        <v>33</v>
      </c>
      <c r="N164" s="30">
        <f>(G164 + H164 + I164 ) / L164</f>
        <v>9.6286399015927546E-2</v>
      </c>
    </row>
    <row r="165" spans="1:14" ht="14.25" customHeight="1">
      <c r="A165" s="3" t="s">
        <v>268</v>
      </c>
      <c r="B165" s="3" t="s">
        <v>62</v>
      </c>
      <c r="C165" s="9" t="s">
        <v>269</v>
      </c>
      <c r="D165" s="3" t="s">
        <v>22</v>
      </c>
      <c r="E165" s="3" t="s">
        <v>551</v>
      </c>
      <c r="F165" s="3" t="s">
        <v>552</v>
      </c>
      <c r="G165" s="12">
        <v>14763</v>
      </c>
      <c r="H165" s="12">
        <v>864</v>
      </c>
      <c r="I165" s="12">
        <v>336</v>
      </c>
      <c r="J165" s="12">
        <v>1493</v>
      </c>
      <c r="K165" s="13">
        <v>33310</v>
      </c>
      <c r="L165" s="12">
        <v>165932</v>
      </c>
      <c r="M165" s="3" t="s">
        <v>24</v>
      </c>
      <c r="N165" s="30">
        <f>(G165 + H165 + I165 ) / L165</f>
        <v>9.6202058674637797E-2</v>
      </c>
    </row>
    <row r="166" spans="1:14" ht="14.25" customHeight="1">
      <c r="A166" s="3" t="s">
        <v>266</v>
      </c>
      <c r="B166" s="3" t="s">
        <v>62</v>
      </c>
      <c r="C166" s="9" t="s">
        <v>267</v>
      </c>
      <c r="D166" s="3" t="s">
        <v>22</v>
      </c>
      <c r="E166" s="3" t="s">
        <v>554</v>
      </c>
      <c r="F166" s="3" t="s">
        <v>555</v>
      </c>
      <c r="G166" s="12">
        <v>22384</v>
      </c>
      <c r="H166" s="12">
        <v>601</v>
      </c>
      <c r="I166" s="12">
        <v>943</v>
      </c>
      <c r="J166" s="12">
        <v>515</v>
      </c>
      <c r="K166" s="13">
        <v>41309</v>
      </c>
      <c r="L166" s="12">
        <v>249373</v>
      </c>
      <c r="M166" s="3" t="s">
        <v>33</v>
      </c>
      <c r="N166" s="30">
        <f>(G166 + H166 + I166 ) / L166</f>
        <v>9.5952649244304716E-2</v>
      </c>
    </row>
    <row r="167" spans="1:14" ht="14.25" customHeight="1">
      <c r="A167" s="3" t="s">
        <v>264</v>
      </c>
      <c r="B167" s="3" t="s">
        <v>62</v>
      </c>
      <c r="C167" s="9" t="s">
        <v>265</v>
      </c>
      <c r="D167" s="3" t="s">
        <v>35</v>
      </c>
      <c r="E167" s="3" t="s">
        <v>561</v>
      </c>
      <c r="F167" s="3" t="s">
        <v>551</v>
      </c>
      <c r="G167" s="12">
        <v>8767</v>
      </c>
      <c r="H167" s="12">
        <v>974</v>
      </c>
      <c r="I167" s="12">
        <v>733</v>
      </c>
      <c r="J167" s="12">
        <v>1587</v>
      </c>
      <c r="K167" s="13">
        <v>74927</v>
      </c>
      <c r="L167" s="12">
        <v>113770</v>
      </c>
      <c r="M167" s="3" t="s">
        <v>33</v>
      </c>
      <c r="N167" s="30">
        <f>(G167 + H167 + I167 ) / L167</f>
        <v>9.2062933989628198E-2</v>
      </c>
    </row>
    <row r="168" spans="1:14" ht="14.25" customHeight="1">
      <c r="A168" s="3" t="s">
        <v>262</v>
      </c>
      <c r="B168" s="3" t="s">
        <v>14</v>
      </c>
      <c r="C168" s="9" t="s">
        <v>263</v>
      </c>
      <c r="D168" s="3" t="s">
        <v>35</v>
      </c>
      <c r="E168" s="3" t="s">
        <v>561</v>
      </c>
      <c r="F168" s="3" t="s">
        <v>551</v>
      </c>
      <c r="G168" s="12">
        <v>14775</v>
      </c>
      <c r="H168" s="12">
        <v>1220</v>
      </c>
      <c r="I168" s="12">
        <v>640</v>
      </c>
      <c r="J168" s="12">
        <v>1547</v>
      </c>
      <c r="K168" s="13">
        <v>28527</v>
      </c>
      <c r="L168" s="12">
        <v>183660</v>
      </c>
      <c r="M168" s="3" t="s">
        <v>18</v>
      </c>
      <c r="N168" s="30">
        <f>(G168 + H168 + I168 ) / L168</f>
        <v>9.0574975498203203E-2</v>
      </c>
    </row>
    <row r="169" spans="1:14" ht="14.25" customHeight="1">
      <c r="A169" s="3" t="s">
        <v>260</v>
      </c>
      <c r="B169" s="3" t="s">
        <v>62</v>
      </c>
      <c r="C169" s="9" t="s">
        <v>261</v>
      </c>
      <c r="D169" s="3" t="s">
        <v>22</v>
      </c>
      <c r="E169" s="3" t="s">
        <v>561</v>
      </c>
      <c r="F169" s="3" t="s">
        <v>551</v>
      </c>
      <c r="G169" s="12">
        <v>17385</v>
      </c>
      <c r="H169" s="12">
        <v>831</v>
      </c>
      <c r="I169" s="12">
        <v>568</v>
      </c>
      <c r="J169" s="12">
        <v>2227</v>
      </c>
      <c r="K169" s="13">
        <v>49351</v>
      </c>
      <c r="L169" s="12">
        <v>207450</v>
      </c>
      <c r="M169" s="3" t="s">
        <v>28</v>
      </c>
      <c r="N169" s="30">
        <f>(G169 + H169 + I169 ) / L169</f>
        <v>9.0547119787900698E-2</v>
      </c>
    </row>
    <row r="170" spans="1:14" ht="14.25" customHeight="1">
      <c r="A170" s="3" t="s">
        <v>258</v>
      </c>
      <c r="B170" s="3" t="s">
        <v>44</v>
      </c>
      <c r="C170" s="9" t="s">
        <v>259</v>
      </c>
      <c r="D170" s="3" t="s">
        <v>31</v>
      </c>
      <c r="E170" s="3" t="s">
        <v>551</v>
      </c>
      <c r="F170" s="3" t="s">
        <v>552</v>
      </c>
      <c r="G170" s="12">
        <v>17034</v>
      </c>
      <c r="H170" s="12">
        <v>231</v>
      </c>
      <c r="I170" s="12">
        <v>290</v>
      </c>
      <c r="J170" s="12">
        <v>1387</v>
      </c>
      <c r="K170" s="13">
        <v>63550</v>
      </c>
      <c r="L170" s="12">
        <v>198280</v>
      </c>
      <c r="M170" s="3" t="s">
        <v>18</v>
      </c>
      <c r="N170" s="30">
        <f>(G170 + H170 + I170 ) / L170</f>
        <v>8.8536413153116805E-2</v>
      </c>
    </row>
    <row r="171" spans="1:14" ht="14.25" customHeight="1">
      <c r="A171" s="3" t="s">
        <v>257</v>
      </c>
      <c r="B171" s="3" t="s">
        <v>14</v>
      </c>
      <c r="C171" s="10">
        <v>45903</v>
      </c>
      <c r="D171" s="3" t="s">
        <v>31</v>
      </c>
      <c r="E171" s="3" t="s">
        <v>556</v>
      </c>
      <c r="F171" s="3" t="s">
        <v>557</v>
      </c>
      <c r="G171" s="12">
        <v>4779</v>
      </c>
      <c r="H171" s="12">
        <v>1110</v>
      </c>
      <c r="I171" s="12">
        <v>436</v>
      </c>
      <c r="J171" s="12">
        <v>1574</v>
      </c>
      <c r="K171" s="13">
        <v>23275</v>
      </c>
      <c r="L171" s="12">
        <v>71585</v>
      </c>
      <c r="M171" s="3" t="s">
        <v>37</v>
      </c>
      <c r="N171" s="30">
        <f>(G171 + H171 + I171 ) / L171</f>
        <v>8.8356499266606131E-2</v>
      </c>
    </row>
    <row r="172" spans="1:14" ht="14.25" customHeight="1">
      <c r="A172" s="3" t="s">
        <v>255</v>
      </c>
      <c r="B172" s="3" t="s">
        <v>20</v>
      </c>
      <c r="C172" s="9" t="s">
        <v>256</v>
      </c>
      <c r="D172" s="3" t="s">
        <v>16</v>
      </c>
      <c r="E172" s="3" t="s">
        <v>561</v>
      </c>
      <c r="F172" s="3" t="s">
        <v>551</v>
      </c>
      <c r="G172" s="12">
        <v>8949</v>
      </c>
      <c r="H172" s="12">
        <v>1477</v>
      </c>
      <c r="I172" s="12">
        <v>424</v>
      </c>
      <c r="J172" s="12">
        <v>1030</v>
      </c>
      <c r="K172" s="13">
        <v>58052</v>
      </c>
      <c r="L172" s="12">
        <v>123310</v>
      </c>
      <c r="M172" s="3" t="s">
        <v>33</v>
      </c>
      <c r="N172" s="30">
        <f>(G172 + H172 + I172 ) / L172</f>
        <v>8.7989619657773091E-2</v>
      </c>
    </row>
    <row r="173" spans="1:14" ht="14.25" customHeight="1">
      <c r="A173" s="3" t="s">
        <v>254</v>
      </c>
      <c r="B173" s="3" t="s">
        <v>14</v>
      </c>
      <c r="C173" s="9" t="s">
        <v>131</v>
      </c>
      <c r="D173" s="3" t="s">
        <v>22</v>
      </c>
      <c r="E173" s="3" t="s">
        <v>551</v>
      </c>
      <c r="F173" s="3" t="s">
        <v>552</v>
      </c>
      <c r="G173" s="12">
        <v>12015</v>
      </c>
      <c r="H173" s="12">
        <v>1196</v>
      </c>
      <c r="I173" s="12">
        <v>998</v>
      </c>
      <c r="J173" s="12">
        <v>1848</v>
      </c>
      <c r="K173" s="13">
        <v>44739</v>
      </c>
      <c r="L173" s="12">
        <v>161750</v>
      </c>
      <c r="M173" s="3" t="s">
        <v>18</v>
      </c>
      <c r="N173" s="30">
        <f>(G173 + H173 + I173 ) / L173</f>
        <v>8.7845440494590421E-2</v>
      </c>
    </row>
    <row r="174" spans="1:14" ht="14.25" customHeight="1">
      <c r="A174" s="3" t="s">
        <v>252</v>
      </c>
      <c r="B174" s="3" t="s">
        <v>62</v>
      </c>
      <c r="C174" s="9" t="s">
        <v>253</v>
      </c>
      <c r="D174" s="3" t="s">
        <v>31</v>
      </c>
      <c r="E174" s="3" t="s">
        <v>51</v>
      </c>
      <c r="F174" s="3"/>
      <c r="G174" s="12">
        <v>10512</v>
      </c>
      <c r="H174" s="12">
        <v>1197</v>
      </c>
      <c r="I174" s="12">
        <v>544</v>
      </c>
      <c r="J174" s="12">
        <v>2012</v>
      </c>
      <c r="K174" s="13">
        <v>10245</v>
      </c>
      <c r="L174" s="12">
        <v>140102</v>
      </c>
      <c r="M174" s="3" t="s">
        <v>33</v>
      </c>
      <c r="N174" s="30">
        <f>(G174 + H174 + I174 ) / L174</f>
        <v>8.745770938316369E-2</v>
      </c>
    </row>
    <row r="175" spans="1:14" ht="14.25" customHeight="1">
      <c r="A175" s="3" t="s">
        <v>251</v>
      </c>
      <c r="B175" s="3" t="s">
        <v>44</v>
      </c>
      <c r="C175" s="9" t="s">
        <v>73</v>
      </c>
      <c r="D175" s="3" t="s">
        <v>16</v>
      </c>
      <c r="E175" s="3" t="s">
        <v>551</v>
      </c>
      <c r="F175" s="3" t="s">
        <v>553</v>
      </c>
      <c r="G175" s="12">
        <v>13314</v>
      </c>
      <c r="H175" s="12">
        <v>274</v>
      </c>
      <c r="I175" s="12">
        <v>626</v>
      </c>
      <c r="J175" s="12">
        <v>2280</v>
      </c>
      <c r="K175" s="13">
        <v>14639</v>
      </c>
      <c r="L175" s="12">
        <v>163008</v>
      </c>
      <c r="M175" s="3" t="s">
        <v>24</v>
      </c>
      <c r="N175" s="30">
        <f>(G175 + H175 + I175 ) / L175</f>
        <v>8.7198174322732622E-2</v>
      </c>
    </row>
    <row r="176" spans="1:14" ht="14.25" customHeight="1">
      <c r="A176" s="3" t="s">
        <v>250</v>
      </c>
      <c r="B176" s="3" t="s">
        <v>14</v>
      </c>
      <c r="C176" s="10">
        <v>45910</v>
      </c>
      <c r="D176" s="3" t="s">
        <v>16</v>
      </c>
      <c r="E176" s="3" t="s">
        <v>51</v>
      </c>
      <c r="F176" s="3"/>
      <c r="G176" s="12">
        <v>9266</v>
      </c>
      <c r="H176" s="12">
        <v>999</v>
      </c>
      <c r="I176" s="12">
        <v>928</v>
      </c>
      <c r="J176" s="12">
        <v>2700</v>
      </c>
      <c r="K176" s="13">
        <v>12264</v>
      </c>
      <c r="L176" s="12">
        <v>128397</v>
      </c>
      <c r="M176" s="3" t="s">
        <v>37</v>
      </c>
      <c r="N176" s="30">
        <f>(G176 + H176 + I176 ) / L176</f>
        <v>8.7174933993784898E-2</v>
      </c>
    </row>
    <row r="177" spans="1:14" ht="14.25" customHeight="1">
      <c r="A177" s="3" t="s">
        <v>249</v>
      </c>
      <c r="B177" s="3" t="s">
        <v>62</v>
      </c>
      <c r="C177" s="10">
        <v>45912</v>
      </c>
      <c r="D177" s="3" t="s">
        <v>35</v>
      </c>
      <c r="E177" s="3" t="s">
        <v>558</v>
      </c>
      <c r="F177" s="3" t="s">
        <v>559</v>
      </c>
      <c r="G177" s="12">
        <v>17158</v>
      </c>
      <c r="H177" s="12">
        <v>1192</v>
      </c>
      <c r="I177" s="12">
        <v>262</v>
      </c>
      <c r="J177" s="12">
        <v>2016</v>
      </c>
      <c r="K177" s="13">
        <v>28771</v>
      </c>
      <c r="L177" s="12">
        <v>216037</v>
      </c>
      <c r="M177" s="3" t="s">
        <v>37</v>
      </c>
      <c r="N177" s="30">
        <f>(G177 + H177 + I177 ) / L177</f>
        <v>8.6151909163708074E-2</v>
      </c>
    </row>
    <row r="178" spans="1:14" ht="14.25" customHeight="1">
      <c r="A178" s="3" t="s">
        <v>247</v>
      </c>
      <c r="B178" s="3" t="s">
        <v>44</v>
      </c>
      <c r="C178" s="9" t="s">
        <v>248</v>
      </c>
      <c r="D178" s="3" t="s">
        <v>22</v>
      </c>
      <c r="E178" s="3" t="s">
        <v>88</v>
      </c>
      <c r="F178" s="3"/>
      <c r="G178" s="12">
        <v>19154</v>
      </c>
      <c r="H178" s="12">
        <v>1064</v>
      </c>
      <c r="I178" s="12">
        <v>650</v>
      </c>
      <c r="J178" s="12">
        <v>747</v>
      </c>
      <c r="K178" s="13">
        <v>42667</v>
      </c>
      <c r="L178" s="12">
        <v>242332</v>
      </c>
      <c r="M178" s="3" t="s">
        <v>28</v>
      </c>
      <c r="N178" s="30">
        <f>(G178 + H178 + I178 ) / L178</f>
        <v>8.6113266097750191E-2</v>
      </c>
    </row>
    <row r="179" spans="1:14" ht="14.25" customHeight="1">
      <c r="A179" s="3" t="s">
        <v>246</v>
      </c>
      <c r="B179" s="3" t="s">
        <v>20</v>
      </c>
      <c r="C179" s="9" t="s">
        <v>30</v>
      </c>
      <c r="D179" s="3" t="s">
        <v>16</v>
      </c>
      <c r="E179" s="3" t="s">
        <v>549</v>
      </c>
      <c r="F179" s="3" t="s">
        <v>550</v>
      </c>
      <c r="G179" s="12">
        <v>6976</v>
      </c>
      <c r="H179" s="12">
        <v>1320</v>
      </c>
      <c r="I179" s="12">
        <v>393</v>
      </c>
      <c r="J179" s="12">
        <v>2285</v>
      </c>
      <c r="K179" s="13">
        <v>14049</v>
      </c>
      <c r="L179" s="12">
        <v>101367</v>
      </c>
      <c r="M179" s="3" t="s">
        <v>18</v>
      </c>
      <c r="N179" s="30">
        <f>(G179 + H179 + I179 ) / L179</f>
        <v>8.5718231771681114E-2</v>
      </c>
    </row>
    <row r="180" spans="1:14" ht="14.25" customHeight="1">
      <c r="A180" s="3" t="s">
        <v>244</v>
      </c>
      <c r="B180" s="3" t="s">
        <v>14</v>
      </c>
      <c r="C180" s="9" t="s">
        <v>245</v>
      </c>
      <c r="D180" s="3" t="s">
        <v>16</v>
      </c>
      <c r="E180" s="3" t="s">
        <v>556</v>
      </c>
      <c r="F180" s="3" t="s">
        <v>557</v>
      </c>
      <c r="G180" s="12">
        <v>16309</v>
      </c>
      <c r="H180" s="12">
        <v>1449</v>
      </c>
      <c r="I180" s="12">
        <v>838</v>
      </c>
      <c r="J180" s="12">
        <v>2434</v>
      </c>
      <c r="K180" s="13">
        <v>2940</v>
      </c>
      <c r="L180" s="12">
        <v>217953</v>
      </c>
      <c r="M180" s="3" t="s">
        <v>24</v>
      </c>
      <c r="N180" s="30">
        <f>(G180 + H180 + I180 ) / L180</f>
        <v>8.5321147219813445E-2</v>
      </c>
    </row>
    <row r="181" spans="1:14" ht="14.25" customHeight="1">
      <c r="A181" s="3" t="s">
        <v>243</v>
      </c>
      <c r="B181" s="3" t="s">
        <v>14</v>
      </c>
      <c r="C181" s="10">
        <v>45909</v>
      </c>
      <c r="D181" s="3" t="s">
        <v>22</v>
      </c>
      <c r="E181" s="3" t="s">
        <v>554</v>
      </c>
      <c r="F181" s="3" t="s">
        <v>555</v>
      </c>
      <c r="G181" s="12">
        <v>15772</v>
      </c>
      <c r="H181" s="12">
        <v>288</v>
      </c>
      <c r="I181" s="12">
        <v>520</v>
      </c>
      <c r="J181" s="12">
        <v>1585</v>
      </c>
      <c r="K181" s="13">
        <v>59182</v>
      </c>
      <c r="L181" s="12">
        <v>194351</v>
      </c>
      <c r="M181" s="3" t="s">
        <v>37</v>
      </c>
      <c r="N181" s="30">
        <f>(G181 + H181 + I181 ) / L181</f>
        <v>8.5309568769905988E-2</v>
      </c>
    </row>
    <row r="182" spans="1:14" ht="14.25" customHeight="1">
      <c r="A182" s="3" t="s">
        <v>241</v>
      </c>
      <c r="B182" s="3" t="s">
        <v>44</v>
      </c>
      <c r="C182" s="9" t="s">
        <v>242</v>
      </c>
      <c r="D182" s="3" t="s">
        <v>35</v>
      </c>
      <c r="E182" s="3" t="s">
        <v>561</v>
      </c>
      <c r="F182" s="3" t="s">
        <v>551</v>
      </c>
      <c r="G182" s="12">
        <v>10258</v>
      </c>
      <c r="H182" s="12">
        <v>527</v>
      </c>
      <c r="I182" s="12">
        <v>854</v>
      </c>
      <c r="J182" s="12">
        <v>2068</v>
      </c>
      <c r="K182" s="13">
        <v>45632</v>
      </c>
      <c r="L182" s="12">
        <v>136546</v>
      </c>
      <c r="M182" s="3" t="s">
        <v>18</v>
      </c>
      <c r="N182" s="30">
        <f>(G182 + H182 + I182 ) / L182</f>
        <v>8.5238674146441498E-2</v>
      </c>
    </row>
    <row r="183" spans="1:14" ht="14.25" customHeight="1">
      <c r="A183" s="3" t="s">
        <v>239</v>
      </c>
      <c r="B183" s="3" t="s">
        <v>44</v>
      </c>
      <c r="C183" s="9" t="s">
        <v>240</v>
      </c>
      <c r="D183" s="3" t="s">
        <v>31</v>
      </c>
      <c r="E183" s="3" t="s">
        <v>562</v>
      </c>
      <c r="F183" s="3" t="s">
        <v>563</v>
      </c>
      <c r="G183" s="12">
        <v>10837</v>
      </c>
      <c r="H183" s="12">
        <v>1004</v>
      </c>
      <c r="I183" s="12">
        <v>922</v>
      </c>
      <c r="J183" s="12">
        <v>1108</v>
      </c>
      <c r="K183" s="13">
        <v>36807</v>
      </c>
      <c r="L183" s="12">
        <v>150350</v>
      </c>
      <c r="M183" s="3" t="s">
        <v>28</v>
      </c>
      <c r="N183" s="30">
        <f>(G183 + H183 + I183 ) / L183</f>
        <v>8.4888593282341204E-2</v>
      </c>
    </row>
    <row r="184" spans="1:14" ht="14.25" customHeight="1">
      <c r="A184" s="3" t="s">
        <v>237</v>
      </c>
      <c r="B184" s="3" t="s">
        <v>44</v>
      </c>
      <c r="C184" s="9" t="s">
        <v>238</v>
      </c>
      <c r="D184" s="3" t="s">
        <v>22</v>
      </c>
      <c r="E184" s="3" t="s">
        <v>554</v>
      </c>
      <c r="F184" s="3" t="s">
        <v>555</v>
      </c>
      <c r="G184" s="12">
        <v>18639</v>
      </c>
      <c r="H184" s="12">
        <v>1360</v>
      </c>
      <c r="I184" s="12">
        <v>898</v>
      </c>
      <c r="J184" s="12">
        <v>2011</v>
      </c>
      <c r="K184" s="13">
        <v>23275</v>
      </c>
      <c r="L184" s="12">
        <v>247779</v>
      </c>
      <c r="M184" s="3" t="s">
        <v>24</v>
      </c>
      <c r="N184" s="30">
        <f>(G184 + H184 + I184 ) / L184</f>
        <v>8.4337252148083575E-2</v>
      </c>
    </row>
    <row r="185" spans="1:14" ht="14.25" customHeight="1">
      <c r="A185" s="3" t="s">
        <v>236</v>
      </c>
      <c r="B185" s="3" t="s">
        <v>20</v>
      </c>
      <c r="C185" s="10">
        <v>45925</v>
      </c>
      <c r="D185" s="3" t="s">
        <v>22</v>
      </c>
      <c r="E185" s="3" t="s">
        <v>560</v>
      </c>
      <c r="F185" s="3" t="s">
        <v>88</v>
      </c>
      <c r="G185" s="12">
        <v>8371</v>
      </c>
      <c r="H185" s="12">
        <v>960</v>
      </c>
      <c r="I185" s="12">
        <v>548</v>
      </c>
      <c r="J185" s="12">
        <v>2936</v>
      </c>
      <c r="K185" s="13">
        <v>82543</v>
      </c>
      <c r="L185" s="12">
        <v>119973</v>
      </c>
      <c r="M185" s="3" t="s">
        <v>37</v>
      </c>
      <c r="N185" s="30">
        <f>(G185 + H185 + I185 ) / L185</f>
        <v>8.2343527293641069E-2</v>
      </c>
    </row>
    <row r="186" spans="1:14" ht="14.25" customHeight="1">
      <c r="A186" s="3" t="s">
        <v>234</v>
      </c>
      <c r="B186" s="3" t="s">
        <v>44</v>
      </c>
      <c r="C186" s="9" t="s">
        <v>235</v>
      </c>
      <c r="D186" s="3" t="s">
        <v>31</v>
      </c>
      <c r="E186" s="3" t="s">
        <v>551</v>
      </c>
      <c r="F186" s="3" t="s">
        <v>552</v>
      </c>
      <c r="G186" s="12">
        <v>14015</v>
      </c>
      <c r="H186" s="12">
        <v>978</v>
      </c>
      <c r="I186" s="12">
        <v>196</v>
      </c>
      <c r="J186" s="12">
        <v>2744</v>
      </c>
      <c r="K186" s="13">
        <v>20190</v>
      </c>
      <c r="L186" s="12">
        <v>186470</v>
      </c>
      <c r="M186" s="3" t="s">
        <v>28</v>
      </c>
      <c r="N186" s="30">
        <f>(G186 + H186 + I186 ) / L186</f>
        <v>8.1455462004611998E-2</v>
      </c>
    </row>
    <row r="187" spans="1:14" ht="14.25" customHeight="1">
      <c r="A187" s="3" t="s">
        <v>233</v>
      </c>
      <c r="B187" s="3" t="s">
        <v>62</v>
      </c>
      <c r="C187" s="10">
        <v>45939</v>
      </c>
      <c r="D187" s="3" t="s">
        <v>16</v>
      </c>
      <c r="E187" s="3" t="s">
        <v>558</v>
      </c>
      <c r="F187" s="3" t="s">
        <v>559</v>
      </c>
      <c r="G187" s="12">
        <v>18748</v>
      </c>
      <c r="H187" s="12">
        <v>634</v>
      </c>
      <c r="I187" s="12">
        <v>400</v>
      </c>
      <c r="J187" s="12">
        <v>1667</v>
      </c>
      <c r="K187" s="13">
        <v>75813</v>
      </c>
      <c r="L187" s="12">
        <v>244456</v>
      </c>
      <c r="M187" s="3" t="s">
        <v>37</v>
      </c>
      <c r="N187" s="30">
        <f>(G187 + H187 + I187 ) / L187</f>
        <v>8.0922538207284747E-2</v>
      </c>
    </row>
    <row r="188" spans="1:14" ht="14.25" customHeight="1">
      <c r="A188" s="3" t="s">
        <v>232</v>
      </c>
      <c r="B188" s="3" t="s">
        <v>14</v>
      </c>
      <c r="C188" s="10">
        <v>45938</v>
      </c>
      <c r="D188" s="3" t="s">
        <v>35</v>
      </c>
      <c r="E188" s="3" t="s">
        <v>551</v>
      </c>
      <c r="F188" s="3" t="s">
        <v>552</v>
      </c>
      <c r="G188" s="12">
        <v>17745</v>
      </c>
      <c r="H188" s="12">
        <v>414</v>
      </c>
      <c r="I188" s="12">
        <v>563</v>
      </c>
      <c r="J188" s="12">
        <v>2733</v>
      </c>
      <c r="K188" s="13">
        <v>995</v>
      </c>
      <c r="L188" s="12">
        <v>231648</v>
      </c>
      <c r="M188" s="3" t="s">
        <v>37</v>
      </c>
      <c r="N188" s="30">
        <f>(G188 + H188 + I188 ) / L188</f>
        <v>8.0820900676889074E-2</v>
      </c>
    </row>
    <row r="189" spans="1:14" ht="14.25" customHeight="1">
      <c r="A189" s="3" t="s">
        <v>230</v>
      </c>
      <c r="B189" s="3" t="s">
        <v>20</v>
      </c>
      <c r="C189" s="9" t="s">
        <v>231</v>
      </c>
      <c r="D189" s="3" t="s">
        <v>22</v>
      </c>
      <c r="E189" s="3" t="s">
        <v>549</v>
      </c>
      <c r="F189" s="3" t="s">
        <v>550</v>
      </c>
      <c r="G189" s="12">
        <v>9561</v>
      </c>
      <c r="H189" s="12">
        <v>642</v>
      </c>
      <c r="I189" s="12">
        <v>581</v>
      </c>
      <c r="J189" s="12">
        <v>2572</v>
      </c>
      <c r="K189" s="13">
        <v>38552</v>
      </c>
      <c r="L189" s="12">
        <v>133680</v>
      </c>
      <c r="M189" s="3" t="s">
        <v>33</v>
      </c>
      <c r="N189" s="30">
        <f>(G189 + H189 + I189 ) / L189</f>
        <v>8.0670257330939563E-2</v>
      </c>
    </row>
    <row r="190" spans="1:14" ht="14.25" customHeight="1">
      <c r="A190" s="3" t="s">
        <v>228</v>
      </c>
      <c r="B190" s="3" t="s">
        <v>44</v>
      </c>
      <c r="C190" s="9" t="s">
        <v>229</v>
      </c>
      <c r="D190" s="3" t="s">
        <v>16</v>
      </c>
      <c r="E190" s="3" t="s">
        <v>562</v>
      </c>
      <c r="F190" s="3" t="s">
        <v>563</v>
      </c>
      <c r="G190" s="12">
        <v>10150</v>
      </c>
      <c r="H190" s="12">
        <v>526</v>
      </c>
      <c r="I190" s="12">
        <v>888</v>
      </c>
      <c r="J190" s="12">
        <v>1313</v>
      </c>
      <c r="K190" s="13">
        <v>51605</v>
      </c>
      <c r="L190" s="12">
        <v>143409</v>
      </c>
      <c r="M190" s="3" t="s">
        <v>33</v>
      </c>
      <c r="N190" s="30">
        <f>(G190 + H190 + I190 ) / L190</f>
        <v>8.0636501195880311E-2</v>
      </c>
    </row>
    <row r="191" spans="1:14" ht="14.25" customHeight="1">
      <c r="A191" s="3" t="s">
        <v>227</v>
      </c>
      <c r="B191" s="3" t="s">
        <v>20</v>
      </c>
      <c r="C191" s="10">
        <v>45944</v>
      </c>
      <c r="D191" s="3" t="s">
        <v>16</v>
      </c>
      <c r="E191" s="3" t="s">
        <v>560</v>
      </c>
      <c r="F191" s="3" t="s">
        <v>88</v>
      </c>
      <c r="G191" s="12">
        <v>9673</v>
      </c>
      <c r="H191" s="12">
        <v>393</v>
      </c>
      <c r="I191" s="12">
        <v>846</v>
      </c>
      <c r="J191" s="12">
        <v>1028</v>
      </c>
      <c r="K191" s="13">
        <v>55556</v>
      </c>
      <c r="L191" s="12">
        <v>136652</v>
      </c>
      <c r="M191" s="3" t="s">
        <v>37</v>
      </c>
      <c r="N191" s="30">
        <f>(G191 + H191 + I191 ) / L191</f>
        <v>7.9852471972601938E-2</v>
      </c>
    </row>
    <row r="192" spans="1:14" ht="14.25" customHeight="1">
      <c r="A192" s="3" t="s">
        <v>225</v>
      </c>
      <c r="B192" s="3" t="s">
        <v>44</v>
      </c>
      <c r="C192" s="9" t="s">
        <v>226</v>
      </c>
      <c r="D192" s="3" t="s">
        <v>35</v>
      </c>
      <c r="E192" s="3" t="s">
        <v>556</v>
      </c>
      <c r="F192" s="3" t="s">
        <v>557</v>
      </c>
      <c r="G192" s="12">
        <v>17679</v>
      </c>
      <c r="H192" s="12">
        <v>690</v>
      </c>
      <c r="I192" s="12">
        <v>451</v>
      </c>
      <c r="J192" s="12">
        <v>2195</v>
      </c>
      <c r="K192" s="13">
        <v>4390</v>
      </c>
      <c r="L192" s="12">
        <v>235804</v>
      </c>
      <c r="M192" s="3" t="s">
        <v>18</v>
      </c>
      <c r="N192" s="30">
        <f>(G192 + H192 + I192 ) / L192</f>
        <v>7.9812047293514959E-2</v>
      </c>
    </row>
    <row r="193" spans="1:14" ht="14.25" customHeight="1">
      <c r="A193" s="3" t="s">
        <v>223</v>
      </c>
      <c r="B193" s="3" t="s">
        <v>14</v>
      </c>
      <c r="C193" s="9" t="s">
        <v>224</v>
      </c>
      <c r="D193" s="3" t="s">
        <v>22</v>
      </c>
      <c r="E193" s="3" t="s">
        <v>551</v>
      </c>
      <c r="F193" s="3" t="s">
        <v>552</v>
      </c>
      <c r="G193" s="12">
        <v>15746</v>
      </c>
      <c r="H193" s="12">
        <v>258</v>
      </c>
      <c r="I193" s="12">
        <v>839</v>
      </c>
      <c r="J193" s="12">
        <v>2656</v>
      </c>
      <c r="K193" s="13">
        <v>66614</v>
      </c>
      <c r="L193" s="12">
        <v>213724</v>
      </c>
      <c r="M193" s="3" t="s">
        <v>28</v>
      </c>
      <c r="N193" s="30">
        <f>(G193 + H193 + I193 ) / L193</f>
        <v>7.8807246729426739E-2</v>
      </c>
    </row>
    <row r="194" spans="1:14" ht="14.25" customHeight="1">
      <c r="A194" s="3" t="s">
        <v>221</v>
      </c>
      <c r="B194" s="3" t="s">
        <v>20</v>
      </c>
      <c r="C194" s="9" t="s">
        <v>222</v>
      </c>
      <c r="D194" s="3" t="s">
        <v>31</v>
      </c>
      <c r="E194" s="3" t="s">
        <v>554</v>
      </c>
      <c r="F194" s="3" t="s">
        <v>555</v>
      </c>
      <c r="G194" s="12">
        <v>16430</v>
      </c>
      <c r="H194" s="12">
        <v>488</v>
      </c>
      <c r="I194" s="12">
        <v>514</v>
      </c>
      <c r="J194" s="12">
        <v>1436</v>
      </c>
      <c r="K194" s="13">
        <v>30059</v>
      </c>
      <c r="L194" s="12">
        <v>223305</v>
      </c>
      <c r="M194" s="3" t="s">
        <v>24</v>
      </c>
      <c r="N194" s="30">
        <f>(G194 + H194 + I194 ) / L194</f>
        <v>7.8063634938760881E-2</v>
      </c>
    </row>
    <row r="195" spans="1:14" ht="14.25" customHeight="1">
      <c r="A195" s="3" t="s">
        <v>220</v>
      </c>
      <c r="B195" s="3" t="s">
        <v>20</v>
      </c>
      <c r="C195" s="9" t="s">
        <v>191</v>
      </c>
      <c r="D195" s="3" t="s">
        <v>35</v>
      </c>
      <c r="E195" s="3" t="s">
        <v>560</v>
      </c>
      <c r="F195" s="3" t="s">
        <v>88</v>
      </c>
      <c r="G195" s="12">
        <v>8238</v>
      </c>
      <c r="H195" s="12">
        <v>766</v>
      </c>
      <c r="I195" s="12">
        <v>235</v>
      </c>
      <c r="J195" s="12">
        <v>1273</v>
      </c>
      <c r="K195" s="13">
        <v>4706</v>
      </c>
      <c r="L195" s="12">
        <v>119141</v>
      </c>
      <c r="M195" s="3" t="s">
        <v>24</v>
      </c>
      <c r="N195" s="30">
        <f>(G195 + H195 + I195 ) / L195</f>
        <v>7.7546772311798629E-2</v>
      </c>
    </row>
    <row r="196" spans="1:14" ht="14.25" customHeight="1">
      <c r="A196" s="3" t="s">
        <v>218</v>
      </c>
      <c r="B196" s="3" t="s">
        <v>20</v>
      </c>
      <c r="C196" s="9" t="s">
        <v>219</v>
      </c>
      <c r="D196" s="3" t="s">
        <v>16</v>
      </c>
      <c r="E196" s="3" t="s">
        <v>556</v>
      </c>
      <c r="F196" s="3" t="s">
        <v>557</v>
      </c>
      <c r="G196" s="12">
        <v>6892</v>
      </c>
      <c r="H196" s="12">
        <v>1184</v>
      </c>
      <c r="I196" s="12">
        <v>925</v>
      </c>
      <c r="J196" s="12">
        <v>1062</v>
      </c>
      <c r="K196" s="13">
        <v>75008</v>
      </c>
      <c r="L196" s="12">
        <v>116260</v>
      </c>
      <c r="M196" s="3" t="s">
        <v>18</v>
      </c>
      <c r="N196" s="30">
        <f>(G196 + H196 + I196 ) / L196</f>
        <v>7.7421297092723204E-2</v>
      </c>
    </row>
    <row r="197" spans="1:14" ht="14.25" customHeight="1">
      <c r="A197" s="3" t="s">
        <v>216</v>
      </c>
      <c r="B197" s="3" t="s">
        <v>62</v>
      </c>
      <c r="C197" s="9" t="s">
        <v>217</v>
      </c>
      <c r="D197" s="3" t="s">
        <v>22</v>
      </c>
      <c r="E197" s="3" t="s">
        <v>547</v>
      </c>
      <c r="F197" s="3" t="s">
        <v>548</v>
      </c>
      <c r="G197" s="12">
        <v>14607</v>
      </c>
      <c r="H197" s="12">
        <v>1458</v>
      </c>
      <c r="I197" s="12">
        <v>478</v>
      </c>
      <c r="J197" s="12">
        <v>334</v>
      </c>
      <c r="K197" s="13">
        <v>49257</v>
      </c>
      <c r="L197" s="12">
        <v>214668</v>
      </c>
      <c r="M197" s="3" t="s">
        <v>24</v>
      </c>
      <c r="N197" s="30">
        <f>(G197 + H197 + I197 ) / L197</f>
        <v>7.7063185942944451E-2</v>
      </c>
    </row>
    <row r="198" spans="1:14" ht="14.25" customHeight="1">
      <c r="A198" s="3" t="s">
        <v>214</v>
      </c>
      <c r="B198" s="3" t="s">
        <v>20</v>
      </c>
      <c r="C198" s="9" t="s">
        <v>215</v>
      </c>
      <c r="D198" s="3" t="s">
        <v>16</v>
      </c>
      <c r="E198" s="3" t="s">
        <v>551</v>
      </c>
      <c r="F198" s="3" t="s">
        <v>553</v>
      </c>
      <c r="G198" s="12">
        <v>12136</v>
      </c>
      <c r="H198" s="12">
        <v>1117</v>
      </c>
      <c r="I198" s="12">
        <v>834</v>
      </c>
      <c r="J198" s="12">
        <v>892</v>
      </c>
      <c r="K198" s="13">
        <v>23275</v>
      </c>
      <c r="L198" s="12">
        <v>183273</v>
      </c>
      <c r="M198" s="3" t="s">
        <v>28</v>
      </c>
      <c r="N198" s="30">
        <f>(G198 + H198 + I198 ) / L198</f>
        <v>7.6863476889667326E-2</v>
      </c>
    </row>
    <row r="199" spans="1:14" ht="14.25" customHeight="1">
      <c r="A199" s="3" t="s">
        <v>213</v>
      </c>
      <c r="B199" s="3" t="s">
        <v>44</v>
      </c>
      <c r="C199" s="9" t="s">
        <v>191</v>
      </c>
      <c r="D199" s="3" t="s">
        <v>31</v>
      </c>
      <c r="E199" s="3" t="s">
        <v>51</v>
      </c>
      <c r="F199" s="3"/>
      <c r="G199" s="12">
        <v>14941</v>
      </c>
      <c r="H199" s="12">
        <v>1424</v>
      </c>
      <c r="I199" s="12">
        <v>238</v>
      </c>
      <c r="J199" s="12">
        <v>1054</v>
      </c>
      <c r="K199" s="13">
        <v>20516</v>
      </c>
      <c r="L199" s="12">
        <v>216048</v>
      </c>
      <c r="M199" s="3" t="s">
        <v>18</v>
      </c>
      <c r="N199" s="30">
        <f>(G199 + H199 + I199 ) / L199</f>
        <v>7.6848663260016298E-2</v>
      </c>
    </row>
    <row r="200" spans="1:14" ht="14.25" customHeight="1">
      <c r="A200" s="3" t="s">
        <v>211</v>
      </c>
      <c r="B200" s="3" t="s">
        <v>14</v>
      </c>
      <c r="C200" s="9" t="s">
        <v>212</v>
      </c>
      <c r="D200" s="3" t="s">
        <v>31</v>
      </c>
      <c r="E200" s="3" t="s">
        <v>554</v>
      </c>
      <c r="F200" s="3" t="s">
        <v>555</v>
      </c>
      <c r="G200" s="12">
        <v>5818</v>
      </c>
      <c r="H200" s="12">
        <v>1252</v>
      </c>
      <c r="I200" s="12">
        <v>687</v>
      </c>
      <c r="J200" s="12">
        <v>2300</v>
      </c>
      <c r="K200" s="13">
        <v>25081</v>
      </c>
      <c r="L200" s="12">
        <v>101212</v>
      </c>
      <c r="M200" s="3" t="s">
        <v>18</v>
      </c>
      <c r="N200" s="30">
        <f>(G200 + H200 + I200 ) / L200</f>
        <v>7.6641109749832043E-2</v>
      </c>
    </row>
    <row r="201" spans="1:14" ht="14.25" customHeight="1">
      <c r="A201" s="3" t="s">
        <v>209</v>
      </c>
      <c r="B201" s="3" t="s">
        <v>20</v>
      </c>
      <c r="C201" s="9" t="s">
        <v>210</v>
      </c>
      <c r="D201" s="3" t="s">
        <v>16</v>
      </c>
      <c r="E201" s="3" t="s">
        <v>556</v>
      </c>
      <c r="F201" s="3" t="s">
        <v>557</v>
      </c>
      <c r="G201" s="12">
        <v>16388</v>
      </c>
      <c r="H201" s="12">
        <v>1208</v>
      </c>
      <c r="I201" s="12">
        <v>417</v>
      </c>
      <c r="J201" s="12">
        <v>2306</v>
      </c>
      <c r="K201" s="13">
        <v>16865</v>
      </c>
      <c r="L201" s="12">
        <v>236733</v>
      </c>
      <c r="M201" s="3" t="s">
        <v>33</v>
      </c>
      <c r="N201" s="30">
        <f>(G201 + H201 + I201 ) / L201</f>
        <v>7.6089940988370866E-2</v>
      </c>
    </row>
    <row r="202" spans="1:14" ht="14.25" customHeight="1">
      <c r="A202" s="3" t="s">
        <v>208</v>
      </c>
      <c r="B202" s="3" t="s">
        <v>20</v>
      </c>
      <c r="C202" s="10">
        <v>45924</v>
      </c>
      <c r="D202" s="3" t="s">
        <v>31</v>
      </c>
      <c r="E202" s="3" t="s">
        <v>51</v>
      </c>
      <c r="F202" s="3"/>
      <c r="G202" s="12">
        <v>11795</v>
      </c>
      <c r="H202" s="12">
        <v>958</v>
      </c>
      <c r="I202" s="12">
        <v>814</v>
      </c>
      <c r="J202" s="12">
        <v>301</v>
      </c>
      <c r="K202" s="13">
        <v>12564</v>
      </c>
      <c r="L202" s="12">
        <v>179999</v>
      </c>
      <c r="M202" s="3" t="s">
        <v>37</v>
      </c>
      <c r="N202" s="30">
        <f>(G202 + H202 + I202 ) / L202</f>
        <v>7.5372640959116444E-2</v>
      </c>
    </row>
    <row r="203" spans="1:14" ht="14.25" customHeight="1">
      <c r="A203" s="3" t="s">
        <v>207</v>
      </c>
      <c r="B203" s="3" t="s">
        <v>14</v>
      </c>
      <c r="C203" s="9" t="s">
        <v>133</v>
      </c>
      <c r="D203" s="3" t="s">
        <v>31</v>
      </c>
      <c r="E203" s="3" t="s">
        <v>549</v>
      </c>
      <c r="F203" s="3" t="s">
        <v>550</v>
      </c>
      <c r="G203" s="12">
        <v>5812</v>
      </c>
      <c r="H203" s="12">
        <v>934</v>
      </c>
      <c r="I203" s="12">
        <v>302</v>
      </c>
      <c r="J203" s="12">
        <v>2356</v>
      </c>
      <c r="K203" s="13">
        <v>37437</v>
      </c>
      <c r="L203" s="12">
        <v>93551</v>
      </c>
      <c r="M203" s="3" t="s">
        <v>33</v>
      </c>
      <c r="N203" s="30">
        <f>(G203 + H203 + I203 ) / L203</f>
        <v>7.5338585370546551E-2</v>
      </c>
    </row>
    <row r="204" spans="1:14" ht="14.25" customHeight="1">
      <c r="A204" s="3" t="s">
        <v>206</v>
      </c>
      <c r="B204" s="3" t="s">
        <v>20</v>
      </c>
      <c r="C204" s="10">
        <v>45910</v>
      </c>
      <c r="D204" s="3" t="s">
        <v>31</v>
      </c>
      <c r="E204" s="3" t="s">
        <v>556</v>
      </c>
      <c r="F204" s="3" t="s">
        <v>557</v>
      </c>
      <c r="G204" s="12">
        <v>13613</v>
      </c>
      <c r="H204" s="12">
        <v>350</v>
      </c>
      <c r="I204" s="12">
        <v>809</v>
      </c>
      <c r="J204" s="12">
        <v>2013</v>
      </c>
      <c r="K204" s="13">
        <v>20471</v>
      </c>
      <c r="L204" s="12">
        <v>198038</v>
      </c>
      <c r="M204" s="3" t="s">
        <v>37</v>
      </c>
      <c r="N204" s="30">
        <f>(G204 + H204 + I204 ) / L204</f>
        <v>7.4591745018632791E-2</v>
      </c>
    </row>
    <row r="205" spans="1:14" ht="14.25" customHeight="1">
      <c r="A205" s="3" t="s">
        <v>204</v>
      </c>
      <c r="B205" s="3" t="s">
        <v>14</v>
      </c>
      <c r="C205" s="9" t="s">
        <v>205</v>
      </c>
      <c r="D205" s="3" t="s">
        <v>35</v>
      </c>
      <c r="E205" s="3" t="s">
        <v>551</v>
      </c>
      <c r="F205" s="3" t="s">
        <v>552</v>
      </c>
      <c r="G205" s="12">
        <v>10415</v>
      </c>
      <c r="H205" s="12">
        <v>1388</v>
      </c>
      <c r="I205" s="12">
        <v>725</v>
      </c>
      <c r="J205" s="12">
        <v>2462</v>
      </c>
      <c r="K205" s="13">
        <v>23275</v>
      </c>
      <c r="L205" s="12">
        <v>168267</v>
      </c>
      <c r="M205" s="3" t="s">
        <v>18</v>
      </c>
      <c r="N205" s="30">
        <f>(G205 + H205 + I205 ) / L205</f>
        <v>7.4453101321114656E-2</v>
      </c>
    </row>
    <row r="206" spans="1:14" ht="14.25" customHeight="1">
      <c r="A206" s="3" t="s">
        <v>202</v>
      </c>
      <c r="B206" s="3" t="s">
        <v>44</v>
      </c>
      <c r="C206" s="9" t="s">
        <v>203</v>
      </c>
      <c r="D206" s="3" t="s">
        <v>16</v>
      </c>
      <c r="E206" s="3" t="s">
        <v>551</v>
      </c>
      <c r="F206" s="3" t="s">
        <v>552</v>
      </c>
      <c r="G206" s="12">
        <v>10659</v>
      </c>
      <c r="H206" s="12">
        <v>1342</v>
      </c>
      <c r="I206" s="12">
        <v>408</v>
      </c>
      <c r="J206" s="12">
        <v>709</v>
      </c>
      <c r="K206" s="13">
        <v>16309</v>
      </c>
      <c r="L206" s="12">
        <v>168803</v>
      </c>
      <c r="M206" s="3" t="s">
        <v>28</v>
      </c>
      <c r="N206" s="30">
        <f>(G206 + H206 + I206 ) / L206</f>
        <v>7.3511726687321907E-2</v>
      </c>
    </row>
    <row r="207" spans="1:14" ht="14.25" customHeight="1">
      <c r="A207" s="3" t="s">
        <v>200</v>
      </c>
      <c r="B207" s="3" t="s">
        <v>62</v>
      </c>
      <c r="C207" s="9" t="s">
        <v>201</v>
      </c>
      <c r="D207" s="3" t="s">
        <v>16</v>
      </c>
      <c r="E207" s="3" t="s">
        <v>551</v>
      </c>
      <c r="F207" s="3" t="s">
        <v>553</v>
      </c>
      <c r="G207" s="12">
        <v>13475</v>
      </c>
      <c r="H207" s="12">
        <v>1032</v>
      </c>
      <c r="I207" s="12">
        <v>295</v>
      </c>
      <c r="J207" s="12">
        <v>541</v>
      </c>
      <c r="K207" s="13">
        <v>43666</v>
      </c>
      <c r="L207" s="12">
        <v>202396</v>
      </c>
      <c r="M207" s="3" t="s">
        <v>18</v>
      </c>
      <c r="N207" s="30">
        <f>(G207 + H207 + I207 ) / L207</f>
        <v>7.3133856400324118E-2</v>
      </c>
    </row>
    <row r="208" spans="1:14" ht="14.25" customHeight="1">
      <c r="A208" s="3" t="s">
        <v>199</v>
      </c>
      <c r="B208" s="3" t="s">
        <v>14</v>
      </c>
      <c r="C208" s="9" t="s">
        <v>39</v>
      </c>
      <c r="D208" s="3" t="s">
        <v>31</v>
      </c>
      <c r="E208" s="3" t="s">
        <v>554</v>
      </c>
      <c r="F208" s="3" t="s">
        <v>555</v>
      </c>
      <c r="G208" s="12">
        <v>15550</v>
      </c>
      <c r="H208" s="12">
        <v>204</v>
      </c>
      <c r="I208" s="12">
        <v>279</v>
      </c>
      <c r="J208" s="12">
        <v>1646</v>
      </c>
      <c r="K208" s="13">
        <v>23275</v>
      </c>
      <c r="L208" s="12">
        <v>219436</v>
      </c>
      <c r="M208" s="3" t="s">
        <v>33</v>
      </c>
      <c r="N208" s="30">
        <f>(G208 + H208 + I208 ) / L208</f>
        <v>7.306458375107093E-2</v>
      </c>
    </row>
    <row r="209" spans="1:14" ht="14.25" customHeight="1">
      <c r="A209" s="3" t="s">
        <v>197</v>
      </c>
      <c r="B209" s="3" t="s">
        <v>44</v>
      </c>
      <c r="C209" s="9" t="s">
        <v>198</v>
      </c>
      <c r="D209" s="3" t="s">
        <v>22</v>
      </c>
      <c r="E209" s="3" t="s">
        <v>556</v>
      </c>
      <c r="F209" s="3" t="s">
        <v>557</v>
      </c>
      <c r="G209" s="12">
        <v>12167</v>
      </c>
      <c r="H209" s="12">
        <v>364</v>
      </c>
      <c r="I209" s="12">
        <v>160</v>
      </c>
      <c r="J209" s="12">
        <v>616</v>
      </c>
      <c r="K209" s="13">
        <v>42228</v>
      </c>
      <c r="L209" s="12">
        <v>175832</v>
      </c>
      <c r="M209" s="3" t="s">
        <v>28</v>
      </c>
      <c r="N209" s="30">
        <f>(G209 + H209 + I209 ) / L209</f>
        <v>7.2176850630146963E-2</v>
      </c>
    </row>
    <row r="210" spans="1:14" ht="14.25" customHeight="1">
      <c r="A210" s="3" t="s">
        <v>196</v>
      </c>
      <c r="B210" s="3" t="s">
        <v>14</v>
      </c>
      <c r="C210" s="10">
        <v>45923</v>
      </c>
      <c r="D210" s="3" t="s">
        <v>31</v>
      </c>
      <c r="E210" s="3" t="s">
        <v>562</v>
      </c>
      <c r="F210" s="3" t="s">
        <v>563</v>
      </c>
      <c r="G210" s="12">
        <v>10017</v>
      </c>
      <c r="H210" s="12">
        <v>1357</v>
      </c>
      <c r="I210" s="12">
        <v>966</v>
      </c>
      <c r="J210" s="12">
        <v>2871</v>
      </c>
      <c r="K210" s="13">
        <v>14800</v>
      </c>
      <c r="L210" s="12">
        <v>171691</v>
      </c>
      <c r="M210" s="3" t="s">
        <v>37</v>
      </c>
      <c r="N210" s="30">
        <f>(G210 + H210 + I210 ) / L210</f>
        <v>7.1873307278774071E-2</v>
      </c>
    </row>
    <row r="211" spans="1:14" ht="14.25" customHeight="1">
      <c r="A211" s="3" t="s">
        <v>194</v>
      </c>
      <c r="B211" s="3" t="s">
        <v>20</v>
      </c>
      <c r="C211" s="9" t="s">
        <v>195</v>
      </c>
      <c r="D211" s="3" t="s">
        <v>31</v>
      </c>
      <c r="E211" s="3" t="s">
        <v>560</v>
      </c>
      <c r="F211" s="3" t="s">
        <v>88</v>
      </c>
      <c r="G211" s="12">
        <v>8809</v>
      </c>
      <c r="H211" s="12">
        <v>1151</v>
      </c>
      <c r="I211" s="12">
        <v>908</v>
      </c>
      <c r="J211" s="12">
        <v>883</v>
      </c>
      <c r="K211" s="13">
        <v>42921</v>
      </c>
      <c r="L211" s="12">
        <v>151279</v>
      </c>
      <c r="M211" s="3" t="s">
        <v>18</v>
      </c>
      <c r="N211" s="30">
        <f>(G211 + H211 + I211 ) / L211</f>
        <v>7.1840771025720687E-2</v>
      </c>
    </row>
    <row r="212" spans="1:14" ht="14.25" customHeight="1">
      <c r="A212" s="3" t="s">
        <v>193</v>
      </c>
      <c r="B212" s="3" t="s">
        <v>20</v>
      </c>
      <c r="C212" s="10">
        <v>45945</v>
      </c>
      <c r="D212" s="3" t="s">
        <v>31</v>
      </c>
      <c r="E212" s="3" t="s">
        <v>554</v>
      </c>
      <c r="F212" s="3" t="s">
        <v>555</v>
      </c>
      <c r="G212" s="12">
        <v>8882</v>
      </c>
      <c r="H212" s="12">
        <v>701</v>
      </c>
      <c r="I212" s="12">
        <v>421</v>
      </c>
      <c r="J212" s="12">
        <v>2343</v>
      </c>
      <c r="K212" s="13">
        <v>13588</v>
      </c>
      <c r="L212" s="12">
        <v>139304</v>
      </c>
      <c r="M212" s="3" t="s">
        <v>37</v>
      </c>
      <c r="N212" s="30">
        <f>(G212 + H212 + I212 ) / L212</f>
        <v>7.1814161833113191E-2</v>
      </c>
    </row>
    <row r="213" spans="1:14" ht="14.25" customHeight="1">
      <c r="A213" s="3" t="s">
        <v>192</v>
      </c>
      <c r="B213" s="3" t="s">
        <v>20</v>
      </c>
      <c r="C213" s="10">
        <v>45930</v>
      </c>
      <c r="D213" s="3" t="s">
        <v>35</v>
      </c>
      <c r="E213" s="3" t="s">
        <v>549</v>
      </c>
      <c r="F213" s="3" t="s">
        <v>550</v>
      </c>
      <c r="G213" s="12">
        <v>8269</v>
      </c>
      <c r="H213" s="12">
        <v>250</v>
      </c>
      <c r="I213" s="12">
        <v>638</v>
      </c>
      <c r="J213" s="12">
        <v>815</v>
      </c>
      <c r="K213" s="13">
        <v>41991</v>
      </c>
      <c r="L213" s="12">
        <v>129393</v>
      </c>
      <c r="M213" s="3" t="s">
        <v>37</v>
      </c>
      <c r="N213" s="30">
        <f>(G213 + H213 + I213 ) / L213</f>
        <v>7.0768897853825175E-2</v>
      </c>
    </row>
    <row r="214" spans="1:14" ht="14.25" customHeight="1">
      <c r="A214" s="3" t="s">
        <v>190</v>
      </c>
      <c r="B214" s="3" t="s">
        <v>20</v>
      </c>
      <c r="C214" s="9" t="s">
        <v>191</v>
      </c>
      <c r="D214" s="3" t="s">
        <v>16</v>
      </c>
      <c r="E214" s="3" t="s">
        <v>551</v>
      </c>
      <c r="F214" s="3" t="s">
        <v>552</v>
      </c>
      <c r="G214" s="12">
        <v>15917</v>
      </c>
      <c r="H214" s="12">
        <v>1479</v>
      </c>
      <c r="I214" s="12">
        <v>196</v>
      </c>
      <c r="J214" s="12">
        <v>313</v>
      </c>
      <c r="K214" s="13">
        <v>48524</v>
      </c>
      <c r="L214" s="12">
        <v>249684</v>
      </c>
      <c r="M214" s="3" t="s">
        <v>24</v>
      </c>
      <c r="N214" s="30">
        <f>(G214 + H214 + I214 ) / L214</f>
        <v>7.0457057720959296E-2</v>
      </c>
    </row>
    <row r="215" spans="1:14" ht="14.25" customHeight="1">
      <c r="A215" s="3" t="s">
        <v>188</v>
      </c>
      <c r="B215" s="3" t="s">
        <v>44</v>
      </c>
      <c r="C215" s="9" t="s">
        <v>189</v>
      </c>
      <c r="D215" s="3" t="s">
        <v>31</v>
      </c>
      <c r="E215" s="3" t="s">
        <v>547</v>
      </c>
      <c r="F215" s="3" t="s">
        <v>548</v>
      </c>
      <c r="G215" s="12">
        <v>11865</v>
      </c>
      <c r="H215" s="12">
        <v>241</v>
      </c>
      <c r="I215" s="12">
        <v>319</v>
      </c>
      <c r="J215" s="12">
        <v>703</v>
      </c>
      <c r="K215" s="13">
        <v>69596</v>
      </c>
      <c r="L215" s="12">
        <v>177513</v>
      </c>
      <c r="M215" s="3" t="s">
        <v>24</v>
      </c>
      <c r="N215" s="30">
        <f>(G215 + H215 + I215 ) / L215</f>
        <v>6.999487361489018E-2</v>
      </c>
    </row>
    <row r="216" spans="1:14" ht="14.25" customHeight="1">
      <c r="A216" s="3" t="s">
        <v>187</v>
      </c>
      <c r="B216" s="3" t="s">
        <v>44</v>
      </c>
      <c r="C216" s="11">
        <v>45925</v>
      </c>
      <c r="D216" s="3" t="s">
        <v>16</v>
      </c>
      <c r="E216" s="3" t="s">
        <v>560</v>
      </c>
      <c r="F216" s="3" t="s">
        <v>88</v>
      </c>
      <c r="G216" s="12">
        <v>12568</v>
      </c>
      <c r="H216" s="12">
        <v>541</v>
      </c>
      <c r="I216" s="12">
        <v>273</v>
      </c>
      <c r="J216" s="12">
        <v>2767</v>
      </c>
      <c r="K216" s="13">
        <v>22331</v>
      </c>
      <c r="L216" s="12">
        <v>192747</v>
      </c>
      <c r="M216" s="3" t="s">
        <v>37</v>
      </c>
      <c r="N216" s="30">
        <f>(G216 + H216 + I216 ) / L216</f>
        <v>6.9427799135654514E-2</v>
      </c>
    </row>
    <row r="217" spans="1:14" ht="14.25" customHeight="1">
      <c r="A217" s="3" t="s">
        <v>186</v>
      </c>
      <c r="B217" s="3" t="s">
        <v>14</v>
      </c>
      <c r="C217" s="10">
        <v>45917</v>
      </c>
      <c r="D217" s="3" t="s">
        <v>35</v>
      </c>
      <c r="E217" s="3" t="s">
        <v>547</v>
      </c>
      <c r="F217" s="3" t="s">
        <v>548</v>
      </c>
      <c r="G217" s="12">
        <v>15456</v>
      </c>
      <c r="H217" s="12">
        <v>590</v>
      </c>
      <c r="I217" s="12">
        <v>555</v>
      </c>
      <c r="J217" s="12">
        <v>2882</v>
      </c>
      <c r="K217" s="13">
        <v>49816</v>
      </c>
      <c r="L217" s="12">
        <v>240422</v>
      </c>
      <c r="M217" s="3" t="s">
        <v>37</v>
      </c>
      <c r="N217" s="30">
        <f>(G217 + H217 + I217 ) / L217</f>
        <v>6.9049421433978589E-2</v>
      </c>
    </row>
    <row r="218" spans="1:14" ht="14.25" customHeight="1">
      <c r="A218" s="3" t="s">
        <v>184</v>
      </c>
      <c r="B218" s="3" t="s">
        <v>14</v>
      </c>
      <c r="C218" s="9" t="s">
        <v>185</v>
      </c>
      <c r="D218" s="3" t="s">
        <v>31</v>
      </c>
      <c r="E218" s="3" t="s">
        <v>558</v>
      </c>
      <c r="F218" s="3" t="s">
        <v>559</v>
      </c>
      <c r="G218" s="12">
        <v>11860</v>
      </c>
      <c r="H218" s="12">
        <v>1448</v>
      </c>
      <c r="I218" s="12">
        <v>893</v>
      </c>
      <c r="J218" s="12">
        <v>490</v>
      </c>
      <c r="K218" s="13">
        <v>23518</v>
      </c>
      <c r="L218" s="12">
        <v>206205</v>
      </c>
      <c r="M218" s="3" t="s">
        <v>33</v>
      </c>
      <c r="N218" s="30">
        <f>(G218 + H218 + I218 ) / L218</f>
        <v>6.8868359157149436E-2</v>
      </c>
    </row>
    <row r="219" spans="1:14" ht="14.25" customHeight="1">
      <c r="A219" s="3" t="s">
        <v>182</v>
      </c>
      <c r="B219" s="3" t="s">
        <v>44</v>
      </c>
      <c r="C219" s="9" t="s">
        <v>183</v>
      </c>
      <c r="D219" s="3" t="s">
        <v>31</v>
      </c>
      <c r="E219" s="3" t="s">
        <v>547</v>
      </c>
      <c r="F219" s="3" t="s">
        <v>548</v>
      </c>
      <c r="G219" s="12">
        <v>6432</v>
      </c>
      <c r="H219" s="12">
        <v>1272</v>
      </c>
      <c r="I219" s="12">
        <v>498</v>
      </c>
      <c r="J219" s="12">
        <v>677</v>
      </c>
      <c r="K219" s="13">
        <v>47305</v>
      </c>
      <c r="L219" s="12">
        <v>119134</v>
      </c>
      <c r="M219" s="3" t="s">
        <v>33</v>
      </c>
      <c r="N219" s="30">
        <f>(G219 + H219 + I219 ) / L219</f>
        <v>6.8846844729464299E-2</v>
      </c>
    </row>
    <row r="220" spans="1:14" ht="14.25" customHeight="1">
      <c r="A220" s="3" t="s">
        <v>180</v>
      </c>
      <c r="B220" s="3" t="s">
        <v>44</v>
      </c>
      <c r="C220" s="9" t="s">
        <v>181</v>
      </c>
      <c r="D220" s="3" t="s">
        <v>22</v>
      </c>
      <c r="E220" s="3" t="s">
        <v>551</v>
      </c>
      <c r="F220" s="3" t="s">
        <v>553</v>
      </c>
      <c r="G220" s="12">
        <v>11765</v>
      </c>
      <c r="H220" s="12">
        <v>693</v>
      </c>
      <c r="I220" s="12">
        <v>729</v>
      </c>
      <c r="J220" s="12">
        <v>744</v>
      </c>
      <c r="K220" s="13">
        <v>97772</v>
      </c>
      <c r="L220" s="12">
        <v>194243</v>
      </c>
      <c r="M220" s="3" t="s">
        <v>33</v>
      </c>
      <c r="N220" s="30">
        <f>(G220 + H220 + I220 ) / L220</f>
        <v>6.7889190344053579E-2</v>
      </c>
    </row>
    <row r="221" spans="1:14" ht="14.25" customHeight="1">
      <c r="A221" s="3" t="s">
        <v>178</v>
      </c>
      <c r="B221" s="3" t="s">
        <v>62</v>
      </c>
      <c r="C221" s="9" t="s">
        <v>179</v>
      </c>
      <c r="D221" s="3" t="s">
        <v>35</v>
      </c>
      <c r="E221" s="3" t="s">
        <v>560</v>
      </c>
      <c r="F221" s="3" t="s">
        <v>88</v>
      </c>
      <c r="G221" s="12">
        <v>12589</v>
      </c>
      <c r="H221" s="12">
        <v>346</v>
      </c>
      <c r="I221" s="12">
        <v>459</v>
      </c>
      <c r="J221" s="12">
        <v>1407</v>
      </c>
      <c r="K221" s="13">
        <v>29254</v>
      </c>
      <c r="L221" s="12">
        <v>198059</v>
      </c>
      <c r="M221" s="3" t="s">
        <v>28</v>
      </c>
      <c r="N221" s="30">
        <f>(G221 + H221 + I221 ) / L221</f>
        <v>6.7626313371268162E-2</v>
      </c>
    </row>
    <row r="222" spans="1:14" ht="14.25" customHeight="1">
      <c r="A222" s="3" t="s">
        <v>176</v>
      </c>
      <c r="B222" s="3" t="s">
        <v>14</v>
      </c>
      <c r="C222" s="9" t="s">
        <v>177</v>
      </c>
      <c r="D222" s="3" t="s">
        <v>35</v>
      </c>
      <c r="E222" s="3" t="s">
        <v>88</v>
      </c>
      <c r="F222" s="3"/>
      <c r="G222" s="12">
        <v>9941</v>
      </c>
      <c r="H222" s="12">
        <v>1329</v>
      </c>
      <c r="I222" s="12">
        <v>238</v>
      </c>
      <c r="J222" s="12">
        <v>869</v>
      </c>
      <c r="K222" s="13">
        <v>40281</v>
      </c>
      <c r="L222" s="12">
        <v>172311</v>
      </c>
      <c r="M222" s="3" t="s">
        <v>28</v>
      </c>
      <c r="N222" s="30">
        <f>(G222 + H222 + I222 ) / L222</f>
        <v>6.6786217943137702E-2</v>
      </c>
    </row>
    <row r="223" spans="1:14" ht="14.25" customHeight="1">
      <c r="A223" s="3" t="s">
        <v>174</v>
      </c>
      <c r="B223" s="3" t="s">
        <v>62</v>
      </c>
      <c r="C223" s="9" t="s">
        <v>175</v>
      </c>
      <c r="D223" s="3" t="s">
        <v>16</v>
      </c>
      <c r="E223" s="3" t="s">
        <v>547</v>
      </c>
      <c r="F223" s="3" t="s">
        <v>548</v>
      </c>
      <c r="G223" s="12">
        <v>12320</v>
      </c>
      <c r="H223" s="12">
        <v>1157</v>
      </c>
      <c r="I223" s="12">
        <v>365</v>
      </c>
      <c r="J223" s="12">
        <v>584</v>
      </c>
      <c r="K223" s="13">
        <v>66634</v>
      </c>
      <c r="L223" s="12">
        <v>210102</v>
      </c>
      <c r="M223" s="3" t="s">
        <v>24</v>
      </c>
      <c r="N223" s="30">
        <f>(G223 + H223 + I223 ) / L223</f>
        <v>6.5882285746922925E-2</v>
      </c>
    </row>
    <row r="224" spans="1:14" ht="14.25" customHeight="1">
      <c r="A224" s="3" t="s">
        <v>172</v>
      </c>
      <c r="B224" s="3" t="s">
        <v>20</v>
      </c>
      <c r="C224" s="9" t="s">
        <v>173</v>
      </c>
      <c r="D224" s="3" t="s">
        <v>35</v>
      </c>
      <c r="E224" s="3" t="s">
        <v>51</v>
      </c>
      <c r="F224" s="3"/>
      <c r="G224" s="12">
        <v>8738</v>
      </c>
      <c r="H224" s="12">
        <v>295</v>
      </c>
      <c r="I224" s="12">
        <v>529</v>
      </c>
      <c r="J224" s="12">
        <v>442</v>
      </c>
      <c r="K224" s="13">
        <v>25286</v>
      </c>
      <c r="L224" s="12">
        <v>147522</v>
      </c>
      <c r="M224" s="3" t="s">
        <v>24</v>
      </c>
      <c r="N224" s="30">
        <f>(G224 + H224 + I224 ) / L224</f>
        <v>6.4817450956467515E-2</v>
      </c>
    </row>
    <row r="225" spans="1:14" ht="14.25" customHeight="1">
      <c r="A225" s="3" t="s">
        <v>170</v>
      </c>
      <c r="B225" s="3" t="s">
        <v>14</v>
      </c>
      <c r="C225" s="9" t="s">
        <v>171</v>
      </c>
      <c r="D225" s="3" t="s">
        <v>16</v>
      </c>
      <c r="E225" s="3" t="s">
        <v>558</v>
      </c>
      <c r="F225" s="3" t="s">
        <v>559</v>
      </c>
      <c r="G225" s="12">
        <v>6544</v>
      </c>
      <c r="H225" s="12">
        <v>749</v>
      </c>
      <c r="I225" s="12">
        <v>888</v>
      </c>
      <c r="J225" s="12">
        <v>594</v>
      </c>
      <c r="K225" s="13">
        <v>18171</v>
      </c>
      <c r="L225" s="12">
        <v>126475</v>
      </c>
      <c r="M225" s="3" t="s">
        <v>28</v>
      </c>
      <c r="N225" s="30">
        <f>(G225 + H225 + I225 ) / L225</f>
        <v>6.4684720300454635E-2</v>
      </c>
    </row>
    <row r="226" spans="1:14" ht="14.25" customHeight="1">
      <c r="A226" s="3" t="s">
        <v>168</v>
      </c>
      <c r="B226" s="3" t="s">
        <v>44</v>
      </c>
      <c r="C226" s="9" t="s">
        <v>169</v>
      </c>
      <c r="D226" s="3" t="s">
        <v>22</v>
      </c>
      <c r="E226" s="3" t="s">
        <v>51</v>
      </c>
      <c r="F226" s="3"/>
      <c r="G226" s="12">
        <v>14910</v>
      </c>
      <c r="H226" s="12">
        <v>778</v>
      </c>
      <c r="I226" s="12">
        <v>289</v>
      </c>
      <c r="J226" s="12">
        <v>2541</v>
      </c>
      <c r="K226" s="13">
        <v>14309</v>
      </c>
      <c r="L226" s="12">
        <v>247815</v>
      </c>
      <c r="M226" s="3" t="s">
        <v>28</v>
      </c>
      <c r="N226" s="30">
        <f>(G226 + H226 + I226 ) / L226</f>
        <v>6.4471480741682297E-2</v>
      </c>
    </row>
    <row r="227" spans="1:14" ht="14.25" customHeight="1">
      <c r="A227" s="3" t="s">
        <v>166</v>
      </c>
      <c r="B227" s="3" t="s">
        <v>20</v>
      </c>
      <c r="C227" s="9" t="s">
        <v>167</v>
      </c>
      <c r="D227" s="3" t="s">
        <v>22</v>
      </c>
      <c r="E227" s="3" t="s">
        <v>561</v>
      </c>
      <c r="F227" s="3" t="s">
        <v>551</v>
      </c>
      <c r="G227" s="12">
        <v>7240</v>
      </c>
      <c r="H227" s="12">
        <v>1384</v>
      </c>
      <c r="I227" s="12">
        <v>954</v>
      </c>
      <c r="J227" s="12">
        <v>2335</v>
      </c>
      <c r="K227" s="13">
        <v>6757</v>
      </c>
      <c r="L227" s="12">
        <v>150448</v>
      </c>
      <c r="M227" s="3" t="s">
        <v>28</v>
      </c>
      <c r="N227" s="30">
        <f>(G227 + H227 + I227 ) / L227</f>
        <v>6.3663192598106988E-2</v>
      </c>
    </row>
    <row r="228" spans="1:14" ht="14.25" customHeight="1">
      <c r="A228" s="3" t="s">
        <v>164</v>
      </c>
      <c r="B228" s="3" t="s">
        <v>44</v>
      </c>
      <c r="C228" s="9" t="s">
        <v>165</v>
      </c>
      <c r="D228" s="3" t="s">
        <v>22</v>
      </c>
      <c r="E228" s="3" t="s">
        <v>561</v>
      </c>
      <c r="F228" s="3" t="s">
        <v>551</v>
      </c>
      <c r="G228" s="12">
        <v>8168</v>
      </c>
      <c r="H228" s="12">
        <v>512</v>
      </c>
      <c r="I228" s="12">
        <v>442</v>
      </c>
      <c r="J228" s="12">
        <v>2343</v>
      </c>
      <c r="K228" s="13">
        <v>2753</v>
      </c>
      <c r="L228" s="12">
        <v>143896</v>
      </c>
      <c r="M228" s="3" t="s">
        <v>18</v>
      </c>
      <c r="N228" s="30">
        <f>(G228 + H228 + I228 ) / L228</f>
        <v>6.3393006059932172E-2</v>
      </c>
    </row>
    <row r="229" spans="1:14" ht="14.25" customHeight="1">
      <c r="A229" s="3" t="s">
        <v>162</v>
      </c>
      <c r="B229" s="3" t="s">
        <v>44</v>
      </c>
      <c r="C229" s="9" t="s">
        <v>163</v>
      </c>
      <c r="D229" s="3" t="s">
        <v>35</v>
      </c>
      <c r="E229" s="3" t="s">
        <v>549</v>
      </c>
      <c r="F229" s="3" t="s">
        <v>550</v>
      </c>
      <c r="G229" s="12">
        <v>12160</v>
      </c>
      <c r="H229" s="12">
        <v>1405</v>
      </c>
      <c r="I229" s="12">
        <v>769</v>
      </c>
      <c r="J229" s="12">
        <v>1980</v>
      </c>
      <c r="K229" s="13">
        <v>33174</v>
      </c>
      <c r="L229" s="12">
        <v>226481</v>
      </c>
      <c r="M229" s="3" t="s">
        <v>33</v>
      </c>
      <c r="N229" s="30">
        <f>(G229 + H229 + I229 ) / L229</f>
        <v>6.329007731332871E-2</v>
      </c>
    </row>
    <row r="230" spans="1:14" ht="14.25" customHeight="1">
      <c r="A230" s="3" t="s">
        <v>160</v>
      </c>
      <c r="B230" s="3" t="s">
        <v>62</v>
      </c>
      <c r="C230" s="9" t="s">
        <v>161</v>
      </c>
      <c r="D230" s="3" t="s">
        <v>16</v>
      </c>
      <c r="E230" s="3" t="s">
        <v>549</v>
      </c>
      <c r="F230" s="3" t="s">
        <v>550</v>
      </c>
      <c r="G230" s="12">
        <v>7287</v>
      </c>
      <c r="H230" s="12">
        <v>1240</v>
      </c>
      <c r="I230" s="12">
        <v>686</v>
      </c>
      <c r="J230" s="12">
        <v>1255</v>
      </c>
      <c r="K230" s="13">
        <v>15403</v>
      </c>
      <c r="L230" s="12">
        <v>147971</v>
      </c>
      <c r="M230" s="3" t="s">
        <v>33</v>
      </c>
      <c r="N230" s="30">
        <f>(G230 + H230 + I230 ) / L230</f>
        <v>6.2262200025680704E-2</v>
      </c>
    </row>
    <row r="231" spans="1:14" ht="14.25" customHeight="1">
      <c r="A231" s="3" t="s">
        <v>158</v>
      </c>
      <c r="B231" s="3" t="s">
        <v>20</v>
      </c>
      <c r="C231" s="9" t="s">
        <v>159</v>
      </c>
      <c r="D231" s="3" t="s">
        <v>31</v>
      </c>
      <c r="E231" s="3" t="s">
        <v>547</v>
      </c>
      <c r="F231" s="3" t="s">
        <v>548</v>
      </c>
      <c r="G231" s="12">
        <v>8881</v>
      </c>
      <c r="H231" s="12">
        <v>210</v>
      </c>
      <c r="I231" s="12">
        <v>673</v>
      </c>
      <c r="J231" s="12">
        <v>1565</v>
      </c>
      <c r="K231" s="13">
        <v>24847</v>
      </c>
      <c r="L231" s="12">
        <v>156891</v>
      </c>
      <c r="M231" s="3" t="s">
        <v>28</v>
      </c>
      <c r="N231" s="30">
        <f>(G231 + H231 + I231 ) / L231</f>
        <v>6.223429004850501E-2</v>
      </c>
    </row>
    <row r="232" spans="1:14" ht="14.25" customHeight="1">
      <c r="A232" s="3" t="s">
        <v>157</v>
      </c>
      <c r="B232" s="3" t="s">
        <v>62</v>
      </c>
      <c r="C232" s="9" t="s">
        <v>126</v>
      </c>
      <c r="D232" s="3" t="s">
        <v>35</v>
      </c>
      <c r="E232" s="3" t="s">
        <v>547</v>
      </c>
      <c r="F232" s="3" t="s">
        <v>548</v>
      </c>
      <c r="G232" s="12">
        <v>12478</v>
      </c>
      <c r="H232" s="12">
        <v>484</v>
      </c>
      <c r="I232" s="12">
        <v>332</v>
      </c>
      <c r="J232" s="12">
        <v>2734</v>
      </c>
      <c r="K232" s="13">
        <v>43338</v>
      </c>
      <c r="L232" s="12">
        <v>213895</v>
      </c>
      <c r="M232" s="3" t="s">
        <v>24</v>
      </c>
      <c r="N232" s="30">
        <f>(G232 + H232 + I232 ) / L232</f>
        <v>6.2151990462610156E-2</v>
      </c>
    </row>
    <row r="233" spans="1:14" ht="14.25" customHeight="1">
      <c r="A233" s="3" t="s">
        <v>155</v>
      </c>
      <c r="B233" s="3" t="s">
        <v>20</v>
      </c>
      <c r="C233" s="9" t="s">
        <v>156</v>
      </c>
      <c r="D233" s="3" t="s">
        <v>35</v>
      </c>
      <c r="E233" s="3" t="s">
        <v>556</v>
      </c>
      <c r="F233" s="3" t="s">
        <v>557</v>
      </c>
      <c r="G233" s="12">
        <v>11333</v>
      </c>
      <c r="H233" s="12">
        <v>920</v>
      </c>
      <c r="I233" s="12">
        <v>294</v>
      </c>
      <c r="J233" s="12">
        <v>606</v>
      </c>
      <c r="K233" s="13">
        <v>59490</v>
      </c>
      <c r="L233" s="12">
        <v>202082</v>
      </c>
      <c r="M233" s="3" t="s">
        <v>28</v>
      </c>
      <c r="N233" s="30">
        <f>(G233 + H233 + I233 ) / L233</f>
        <v>6.2088657079799291E-2</v>
      </c>
    </row>
    <row r="234" spans="1:14" ht="14.25" customHeight="1">
      <c r="A234" s="3" t="s">
        <v>153</v>
      </c>
      <c r="B234" s="3" t="s">
        <v>20</v>
      </c>
      <c r="C234" s="9" t="s">
        <v>154</v>
      </c>
      <c r="D234" s="3" t="s">
        <v>31</v>
      </c>
      <c r="E234" s="3" t="s">
        <v>547</v>
      </c>
      <c r="F234" s="3" t="s">
        <v>548</v>
      </c>
      <c r="G234" s="12">
        <v>2055</v>
      </c>
      <c r="H234" s="12">
        <v>675</v>
      </c>
      <c r="I234" s="12">
        <v>257</v>
      </c>
      <c r="J234" s="12">
        <v>820</v>
      </c>
      <c r="K234" s="13">
        <v>33534</v>
      </c>
      <c r="L234" s="12">
        <v>48125</v>
      </c>
      <c r="M234" s="3" t="s">
        <v>33</v>
      </c>
      <c r="N234" s="30">
        <f>(G234 + H234 + I234 ) / L234</f>
        <v>6.2067532467532466E-2</v>
      </c>
    </row>
    <row r="235" spans="1:14" ht="14.25" customHeight="1">
      <c r="A235" s="3" t="s">
        <v>151</v>
      </c>
      <c r="B235" s="3" t="s">
        <v>20</v>
      </c>
      <c r="C235" s="9" t="s">
        <v>152</v>
      </c>
      <c r="D235" s="3" t="s">
        <v>16</v>
      </c>
      <c r="E235" s="3" t="s">
        <v>551</v>
      </c>
      <c r="F235" s="3" t="s">
        <v>553</v>
      </c>
      <c r="G235" s="12">
        <v>6673</v>
      </c>
      <c r="H235" s="12">
        <v>826</v>
      </c>
      <c r="I235" s="12">
        <v>321</v>
      </c>
      <c r="J235" s="12">
        <v>577</v>
      </c>
      <c r="K235" s="13">
        <v>19262</v>
      </c>
      <c r="L235" s="12">
        <v>132324</v>
      </c>
      <c r="M235" s="3" t="s">
        <v>18</v>
      </c>
      <c r="N235" s="30">
        <f>(G235 + H235 + I235 ) / L235</f>
        <v>5.9097367068710133E-2</v>
      </c>
    </row>
    <row r="236" spans="1:14" ht="14.25" customHeight="1">
      <c r="A236" s="3" t="s">
        <v>149</v>
      </c>
      <c r="B236" s="3" t="s">
        <v>20</v>
      </c>
      <c r="C236" s="9" t="s">
        <v>150</v>
      </c>
      <c r="D236" s="3" t="s">
        <v>16</v>
      </c>
      <c r="E236" s="3" t="s">
        <v>549</v>
      </c>
      <c r="F236" s="3" t="s">
        <v>550</v>
      </c>
      <c r="G236" s="12">
        <v>7997</v>
      </c>
      <c r="H236" s="12">
        <v>1238</v>
      </c>
      <c r="I236" s="12">
        <v>438</v>
      </c>
      <c r="J236" s="12">
        <v>1874</v>
      </c>
      <c r="K236" s="13">
        <v>36272</v>
      </c>
      <c r="L236" s="12">
        <v>165818</v>
      </c>
      <c r="M236" s="3" t="s">
        <v>18</v>
      </c>
      <c r="N236" s="30">
        <f>(G236 + H236 + I236 ) / L236</f>
        <v>5.8335042034037318E-2</v>
      </c>
    </row>
    <row r="237" spans="1:14" ht="14.25" customHeight="1">
      <c r="A237" s="3" t="s">
        <v>148</v>
      </c>
      <c r="B237" s="3" t="s">
        <v>14</v>
      </c>
      <c r="C237" s="10">
        <v>45907</v>
      </c>
      <c r="D237" s="3" t="s">
        <v>35</v>
      </c>
      <c r="E237" s="3" t="s">
        <v>558</v>
      </c>
      <c r="F237" s="3" t="s">
        <v>559</v>
      </c>
      <c r="G237" s="12">
        <v>3015</v>
      </c>
      <c r="H237" s="12">
        <v>997</v>
      </c>
      <c r="I237" s="12">
        <v>783</v>
      </c>
      <c r="J237" s="12">
        <v>617</v>
      </c>
      <c r="K237" s="13">
        <v>23275</v>
      </c>
      <c r="L237" s="12">
        <v>82229</v>
      </c>
      <c r="M237" s="3" t="s">
        <v>37</v>
      </c>
      <c r="N237" s="30">
        <f>(G237 + H237 + I237 ) / L237</f>
        <v>5.8312760704860814E-2</v>
      </c>
    </row>
    <row r="238" spans="1:14" ht="14.25" customHeight="1">
      <c r="A238" s="3" t="s">
        <v>146</v>
      </c>
      <c r="B238" s="3" t="s">
        <v>44</v>
      </c>
      <c r="C238" s="9" t="s">
        <v>147</v>
      </c>
      <c r="D238" s="3" t="s">
        <v>35</v>
      </c>
      <c r="E238" s="3" t="s">
        <v>554</v>
      </c>
      <c r="F238" s="3" t="s">
        <v>555</v>
      </c>
      <c r="G238" s="12">
        <v>2009</v>
      </c>
      <c r="H238" s="12">
        <v>1037</v>
      </c>
      <c r="I238" s="12">
        <v>344</v>
      </c>
      <c r="J238" s="12">
        <v>2277</v>
      </c>
      <c r="K238" s="13">
        <v>85743</v>
      </c>
      <c r="L238" s="12">
        <v>58743</v>
      </c>
      <c r="M238" s="3" t="s">
        <v>24</v>
      </c>
      <c r="N238" s="30">
        <f>(G238 + H238 + I238 ) / L238</f>
        <v>5.7709003625963942E-2</v>
      </c>
    </row>
    <row r="239" spans="1:14" ht="14.25" customHeight="1">
      <c r="A239" s="3" t="s">
        <v>145</v>
      </c>
      <c r="B239" s="3" t="s">
        <v>44</v>
      </c>
      <c r="C239" s="9" t="s">
        <v>73</v>
      </c>
      <c r="D239" s="3" t="s">
        <v>31</v>
      </c>
      <c r="E239" s="3" t="s">
        <v>551</v>
      </c>
      <c r="F239" s="3" t="s">
        <v>552</v>
      </c>
      <c r="G239" s="12">
        <v>2404</v>
      </c>
      <c r="H239" s="12">
        <v>774</v>
      </c>
      <c r="I239" s="12">
        <v>661</v>
      </c>
      <c r="J239" s="12">
        <v>662</v>
      </c>
      <c r="K239" s="13">
        <v>12676</v>
      </c>
      <c r="L239" s="12">
        <v>66916</v>
      </c>
      <c r="M239" s="3" t="s">
        <v>33</v>
      </c>
      <c r="N239" s="30">
        <f>(G239 + H239 + I239 ) / L239</f>
        <v>5.7370434574690654E-2</v>
      </c>
    </row>
    <row r="240" spans="1:14" ht="14.25" customHeight="1">
      <c r="A240" s="3" t="s">
        <v>143</v>
      </c>
      <c r="B240" s="3" t="s">
        <v>44</v>
      </c>
      <c r="C240" s="9" t="s">
        <v>144</v>
      </c>
      <c r="D240" s="3" t="s">
        <v>31</v>
      </c>
      <c r="E240" s="3" t="s">
        <v>549</v>
      </c>
      <c r="F240" s="3" t="s">
        <v>550</v>
      </c>
      <c r="G240" s="12">
        <v>2666</v>
      </c>
      <c r="H240" s="12">
        <v>1136</v>
      </c>
      <c r="I240" s="12">
        <v>989</v>
      </c>
      <c r="J240" s="12">
        <v>1710</v>
      </c>
      <c r="K240" s="13">
        <v>36467</v>
      </c>
      <c r="L240" s="12">
        <v>83753</v>
      </c>
      <c r="M240" s="3" t="s">
        <v>28</v>
      </c>
      <c r="N240" s="30">
        <f>(G240 + H240 + I240 ) / L240</f>
        <v>5.7203921053574198E-2</v>
      </c>
    </row>
    <row r="241" spans="1:14" ht="14.25" customHeight="1">
      <c r="A241" s="3" t="s">
        <v>141</v>
      </c>
      <c r="B241" s="3" t="s">
        <v>62</v>
      </c>
      <c r="C241" s="9" t="s">
        <v>142</v>
      </c>
      <c r="D241" s="3" t="s">
        <v>35</v>
      </c>
      <c r="E241" s="3" t="s">
        <v>88</v>
      </c>
      <c r="F241" s="3"/>
      <c r="G241" s="12">
        <v>12344</v>
      </c>
      <c r="H241" s="12">
        <v>815</v>
      </c>
      <c r="I241" s="12">
        <v>298</v>
      </c>
      <c r="J241" s="12">
        <v>2439</v>
      </c>
      <c r="K241" s="13">
        <v>6259</v>
      </c>
      <c r="L241" s="12">
        <v>237133</v>
      </c>
      <c r="M241" s="3" t="s">
        <v>24</v>
      </c>
      <c r="N241" s="30">
        <f>(G241 + H241 + I241 ) / L241</f>
        <v>5.6748744375519224E-2</v>
      </c>
    </row>
    <row r="242" spans="1:14" ht="14.25" customHeight="1">
      <c r="A242" s="3" t="s">
        <v>139</v>
      </c>
      <c r="B242" s="3" t="s">
        <v>62</v>
      </c>
      <c r="C242" s="9" t="s">
        <v>140</v>
      </c>
      <c r="D242" s="3" t="s">
        <v>16</v>
      </c>
      <c r="E242" s="3" t="s">
        <v>554</v>
      </c>
      <c r="F242" s="3" t="s">
        <v>555</v>
      </c>
      <c r="G242" s="12">
        <v>6637</v>
      </c>
      <c r="H242" s="12">
        <v>595</v>
      </c>
      <c r="I242" s="12">
        <v>161</v>
      </c>
      <c r="J242" s="12">
        <v>2653</v>
      </c>
      <c r="K242" s="13">
        <v>19334</v>
      </c>
      <c r="L242" s="12">
        <v>131155</v>
      </c>
      <c r="M242" s="3" t="s">
        <v>28</v>
      </c>
      <c r="N242" s="30">
        <f>(G242 + H242 + I242 ) / L242</f>
        <v>5.6368419046166747E-2</v>
      </c>
    </row>
    <row r="243" spans="1:14" ht="14.25" customHeight="1">
      <c r="A243" s="3" t="s">
        <v>138</v>
      </c>
      <c r="B243" s="3" t="s">
        <v>62</v>
      </c>
      <c r="C243" s="9" t="s">
        <v>26</v>
      </c>
      <c r="D243" s="3" t="s">
        <v>35</v>
      </c>
      <c r="E243" s="3" t="s">
        <v>561</v>
      </c>
      <c r="F243" s="3" t="s">
        <v>551</v>
      </c>
      <c r="G243" s="12">
        <v>11521</v>
      </c>
      <c r="H243" s="12">
        <v>1071</v>
      </c>
      <c r="I243" s="12">
        <v>762</v>
      </c>
      <c r="J243" s="12">
        <v>2539</v>
      </c>
      <c r="K243" s="13">
        <v>12701</v>
      </c>
      <c r="L243" s="12">
        <v>238350</v>
      </c>
      <c r="M243" s="3" t="s">
        <v>28</v>
      </c>
      <c r="N243" s="30">
        <f>(G243 + H243 + I243 ) / L243</f>
        <v>5.6026851269142017E-2</v>
      </c>
    </row>
    <row r="244" spans="1:14" ht="14.25" customHeight="1">
      <c r="A244" s="3" t="s">
        <v>137</v>
      </c>
      <c r="B244" s="3" t="s">
        <v>62</v>
      </c>
      <c r="C244" s="10">
        <v>45918</v>
      </c>
      <c r="D244" s="3" t="s">
        <v>16</v>
      </c>
      <c r="E244" s="3" t="s">
        <v>551</v>
      </c>
      <c r="F244" s="3" t="s">
        <v>552</v>
      </c>
      <c r="G244" s="12">
        <v>4048</v>
      </c>
      <c r="H244" s="12">
        <v>677</v>
      </c>
      <c r="I244" s="12">
        <v>911</v>
      </c>
      <c r="J244" s="12">
        <v>2429</v>
      </c>
      <c r="K244" s="13">
        <v>27361</v>
      </c>
      <c r="L244" s="12">
        <v>101272</v>
      </c>
      <c r="M244" s="3" t="s">
        <v>37</v>
      </c>
      <c r="N244" s="30">
        <f>(G244 + H244 + I244 ) / L244</f>
        <v>5.5652105221581483E-2</v>
      </c>
    </row>
    <row r="245" spans="1:14" ht="14.25" customHeight="1">
      <c r="A245" s="3" t="s">
        <v>135</v>
      </c>
      <c r="B245" s="3" t="s">
        <v>20</v>
      </c>
      <c r="C245" s="9" t="s">
        <v>136</v>
      </c>
      <c r="D245" s="3" t="s">
        <v>22</v>
      </c>
      <c r="E245" s="3" t="s">
        <v>558</v>
      </c>
      <c r="F245" s="3" t="s">
        <v>559</v>
      </c>
      <c r="G245" s="12">
        <v>6158</v>
      </c>
      <c r="H245" s="12">
        <v>277</v>
      </c>
      <c r="I245" s="12">
        <v>512</v>
      </c>
      <c r="J245" s="12">
        <v>2189</v>
      </c>
      <c r="K245" s="13">
        <v>76881</v>
      </c>
      <c r="L245" s="12">
        <v>124878</v>
      </c>
      <c r="M245" s="3" t="s">
        <v>24</v>
      </c>
      <c r="N245" s="30">
        <f>(G245 + H245 + I245 ) / L245</f>
        <v>5.563029516808405E-2</v>
      </c>
    </row>
    <row r="246" spans="1:14" ht="14.25" customHeight="1">
      <c r="A246" s="3" t="s">
        <v>134</v>
      </c>
      <c r="B246" s="3" t="s">
        <v>62</v>
      </c>
      <c r="C246" s="10">
        <v>45926</v>
      </c>
      <c r="D246" s="3" t="s">
        <v>16</v>
      </c>
      <c r="E246" s="3" t="s">
        <v>88</v>
      </c>
      <c r="F246" s="3"/>
      <c r="G246" s="12">
        <v>9043</v>
      </c>
      <c r="H246" s="12">
        <v>1192</v>
      </c>
      <c r="I246" s="12">
        <v>810</v>
      </c>
      <c r="J246" s="12">
        <v>1550</v>
      </c>
      <c r="K246" s="13">
        <v>5221</v>
      </c>
      <c r="L246" s="12">
        <v>199476</v>
      </c>
      <c r="M246" s="3" t="s">
        <v>37</v>
      </c>
      <c r="N246" s="30">
        <f>(G246 + H246 + I246 ) / L246</f>
        <v>5.5370069582305642E-2</v>
      </c>
    </row>
    <row r="247" spans="1:14" ht="14.25" customHeight="1">
      <c r="A247" s="3" t="s">
        <v>132</v>
      </c>
      <c r="B247" s="3" t="s">
        <v>14</v>
      </c>
      <c r="C247" s="9" t="s">
        <v>133</v>
      </c>
      <c r="D247" s="3" t="s">
        <v>35</v>
      </c>
      <c r="E247" s="3" t="s">
        <v>554</v>
      </c>
      <c r="F247" s="3" t="s">
        <v>555</v>
      </c>
      <c r="G247" s="12">
        <v>10580</v>
      </c>
      <c r="H247" s="12">
        <v>427</v>
      </c>
      <c r="I247" s="12">
        <v>790</v>
      </c>
      <c r="J247" s="12">
        <v>2814</v>
      </c>
      <c r="K247" s="13">
        <v>24916</v>
      </c>
      <c r="L247" s="12">
        <v>213312</v>
      </c>
      <c r="M247" s="3" t="s">
        <v>18</v>
      </c>
      <c r="N247" s="30">
        <f>(G247 + H247 + I247 ) / L247</f>
        <v>5.530396789678968E-2</v>
      </c>
    </row>
    <row r="248" spans="1:14" ht="14.25" customHeight="1">
      <c r="A248" s="3" t="s">
        <v>130</v>
      </c>
      <c r="B248" s="3" t="s">
        <v>44</v>
      </c>
      <c r="C248" s="9" t="s">
        <v>131</v>
      </c>
      <c r="D248" s="3" t="s">
        <v>22</v>
      </c>
      <c r="E248" s="3" t="s">
        <v>551</v>
      </c>
      <c r="F248" s="3" t="s">
        <v>553</v>
      </c>
      <c r="G248" s="12">
        <v>8254</v>
      </c>
      <c r="H248" s="12">
        <v>1405</v>
      </c>
      <c r="I248" s="12">
        <v>165</v>
      </c>
      <c r="J248" s="12">
        <v>2504</v>
      </c>
      <c r="K248" s="13">
        <v>8081</v>
      </c>
      <c r="L248" s="12">
        <v>177710</v>
      </c>
      <c r="M248" s="3" t="s">
        <v>33</v>
      </c>
      <c r="N248" s="30">
        <f>(G248 + H248 + I248 ) / L248</f>
        <v>5.5281075910190762E-2</v>
      </c>
    </row>
    <row r="249" spans="1:14" ht="14.25" customHeight="1">
      <c r="A249" s="3" t="s">
        <v>128</v>
      </c>
      <c r="B249" s="3" t="s">
        <v>44</v>
      </c>
      <c r="C249" s="9" t="s">
        <v>129</v>
      </c>
      <c r="D249" s="3" t="s">
        <v>31</v>
      </c>
      <c r="E249" s="3" t="s">
        <v>551</v>
      </c>
      <c r="F249" s="3" t="s">
        <v>552</v>
      </c>
      <c r="G249" s="12">
        <v>9041</v>
      </c>
      <c r="H249" s="12">
        <v>1133</v>
      </c>
      <c r="I249" s="12">
        <v>612</v>
      </c>
      <c r="J249" s="12">
        <v>1687</v>
      </c>
      <c r="K249" s="13">
        <v>28102</v>
      </c>
      <c r="L249" s="12">
        <v>195683</v>
      </c>
      <c r="M249" s="3" t="s">
        <v>24</v>
      </c>
      <c r="N249" s="30">
        <f>(G249 + H249 + I249 ) / L249</f>
        <v>5.5119760020032396E-2</v>
      </c>
    </row>
    <row r="250" spans="1:14" ht="14.25" customHeight="1">
      <c r="A250" s="3" t="s">
        <v>127</v>
      </c>
      <c r="B250" s="3" t="s">
        <v>14</v>
      </c>
      <c r="C250" s="10">
        <v>45929</v>
      </c>
      <c r="D250" s="3" t="s">
        <v>22</v>
      </c>
      <c r="E250" s="3" t="s">
        <v>560</v>
      </c>
      <c r="F250" s="3" t="s">
        <v>88</v>
      </c>
      <c r="G250" s="12">
        <v>7569</v>
      </c>
      <c r="H250" s="12">
        <v>803</v>
      </c>
      <c r="I250" s="12">
        <v>804</v>
      </c>
      <c r="J250" s="12">
        <v>1753</v>
      </c>
      <c r="K250" s="13">
        <v>43582</v>
      </c>
      <c r="L250" s="12">
        <v>166945</v>
      </c>
      <c r="M250" s="3" t="s">
        <v>37</v>
      </c>
      <c r="N250" s="30">
        <f>(G250 + H250 + I250 ) / L250</f>
        <v>5.4964209769684629E-2</v>
      </c>
    </row>
    <row r="251" spans="1:14" ht="14.25" customHeight="1">
      <c r="A251" s="3" t="s">
        <v>125</v>
      </c>
      <c r="B251" s="3" t="s">
        <v>62</v>
      </c>
      <c r="C251" s="9" t="s">
        <v>126</v>
      </c>
      <c r="D251" s="3" t="s">
        <v>35</v>
      </c>
      <c r="E251" s="3" t="s">
        <v>558</v>
      </c>
      <c r="F251" s="3" t="s">
        <v>559</v>
      </c>
      <c r="G251" s="12">
        <v>7750</v>
      </c>
      <c r="H251" s="12">
        <v>1146</v>
      </c>
      <c r="I251" s="12">
        <v>415</v>
      </c>
      <c r="J251" s="12">
        <v>1411</v>
      </c>
      <c r="K251" s="13">
        <v>85339</v>
      </c>
      <c r="L251" s="12">
        <v>172439</v>
      </c>
      <c r="M251" s="3" t="s">
        <v>28</v>
      </c>
      <c r="N251" s="30">
        <f>(G251 + H251 + I251 ) / L251</f>
        <v>5.3995905798572247E-2</v>
      </c>
    </row>
    <row r="252" spans="1:14" ht="14.25" customHeight="1">
      <c r="A252" s="3" t="s">
        <v>123</v>
      </c>
      <c r="B252" s="3" t="s">
        <v>62</v>
      </c>
      <c r="C252" s="9" t="s">
        <v>124</v>
      </c>
      <c r="D252" s="3" t="s">
        <v>16</v>
      </c>
      <c r="E252" s="3" t="s">
        <v>561</v>
      </c>
      <c r="F252" s="3" t="s">
        <v>551</v>
      </c>
      <c r="G252" s="12">
        <v>11550</v>
      </c>
      <c r="H252" s="12">
        <v>501</v>
      </c>
      <c r="I252" s="12">
        <v>646</v>
      </c>
      <c r="J252" s="12">
        <v>773</v>
      </c>
      <c r="K252" s="13">
        <v>17841</v>
      </c>
      <c r="L252" s="12">
        <v>237576</v>
      </c>
      <c r="M252" s="3" t="s">
        <v>24</v>
      </c>
      <c r="N252" s="30">
        <f>(G252 + H252 + I252 ) / L252</f>
        <v>5.3443950567397383E-2</v>
      </c>
    </row>
    <row r="253" spans="1:14" ht="14.25" customHeight="1">
      <c r="A253" s="3" t="s">
        <v>121</v>
      </c>
      <c r="B253" s="3" t="s">
        <v>14</v>
      </c>
      <c r="C253" s="9" t="s">
        <v>122</v>
      </c>
      <c r="D253" s="3" t="s">
        <v>16</v>
      </c>
      <c r="E253" s="3" t="s">
        <v>560</v>
      </c>
      <c r="F253" s="3" t="s">
        <v>88</v>
      </c>
      <c r="G253" s="12">
        <v>10702</v>
      </c>
      <c r="H253" s="12">
        <v>621</v>
      </c>
      <c r="I253" s="12">
        <v>445</v>
      </c>
      <c r="J253" s="12">
        <v>2918</v>
      </c>
      <c r="K253" s="13">
        <v>54808</v>
      </c>
      <c r="L253" s="12">
        <v>220225</v>
      </c>
      <c r="M253" s="3" t="s">
        <v>33</v>
      </c>
      <c r="N253" s="30">
        <f>(G253 + H253 + I253 ) / L253</f>
        <v>5.3436258372119426E-2</v>
      </c>
    </row>
    <row r="254" spans="1:14" ht="14.25" customHeight="1">
      <c r="A254" s="3" t="s">
        <v>119</v>
      </c>
      <c r="B254" s="3" t="s">
        <v>20</v>
      </c>
      <c r="C254" s="9" t="s">
        <v>120</v>
      </c>
      <c r="D254" s="3" t="s">
        <v>35</v>
      </c>
      <c r="E254" s="3" t="s">
        <v>556</v>
      </c>
      <c r="F254" s="3" t="s">
        <v>557</v>
      </c>
      <c r="G254" s="12">
        <v>2009</v>
      </c>
      <c r="H254" s="12">
        <v>1072</v>
      </c>
      <c r="I254" s="12">
        <v>550</v>
      </c>
      <c r="J254" s="12">
        <v>1437</v>
      </c>
      <c r="K254" s="13">
        <v>23275</v>
      </c>
      <c r="L254" s="12">
        <v>69426</v>
      </c>
      <c r="M254" s="3" t="s">
        <v>24</v>
      </c>
      <c r="N254" s="30">
        <f>(G254 + H254 + I254 ) / L254</f>
        <v>5.2300290957278256E-2</v>
      </c>
    </row>
    <row r="255" spans="1:14" ht="14.25" customHeight="1">
      <c r="A255" s="3" t="s">
        <v>117</v>
      </c>
      <c r="B255" s="3" t="s">
        <v>20</v>
      </c>
      <c r="C255" s="9" t="s">
        <v>118</v>
      </c>
      <c r="D255" s="3" t="s">
        <v>35</v>
      </c>
      <c r="E255" s="3" t="s">
        <v>51</v>
      </c>
      <c r="F255" s="3"/>
      <c r="G255" s="12">
        <v>8469</v>
      </c>
      <c r="H255" s="12">
        <v>935</v>
      </c>
      <c r="I255" s="12">
        <v>211</v>
      </c>
      <c r="J255" s="12">
        <v>2635</v>
      </c>
      <c r="K255" s="13">
        <v>21890</v>
      </c>
      <c r="L255" s="12">
        <v>184539</v>
      </c>
      <c r="M255" s="3" t="s">
        <v>18</v>
      </c>
      <c r="N255" s="30">
        <f>(G255 + H255 + I255 ) / L255</f>
        <v>5.2102807536618279E-2</v>
      </c>
    </row>
    <row r="256" spans="1:14" ht="14.25" customHeight="1">
      <c r="A256" s="3" t="s">
        <v>115</v>
      </c>
      <c r="B256" s="3" t="s">
        <v>20</v>
      </c>
      <c r="C256" s="9" t="s">
        <v>116</v>
      </c>
      <c r="D256" s="3" t="s">
        <v>16</v>
      </c>
      <c r="E256" s="3" t="s">
        <v>556</v>
      </c>
      <c r="F256" s="3" t="s">
        <v>557</v>
      </c>
      <c r="G256" s="12">
        <v>6804</v>
      </c>
      <c r="H256" s="12">
        <v>787</v>
      </c>
      <c r="I256" s="12">
        <v>970</v>
      </c>
      <c r="J256" s="12">
        <v>1095</v>
      </c>
      <c r="K256" s="13">
        <v>23275</v>
      </c>
      <c r="L256" s="12">
        <v>164677</v>
      </c>
      <c r="M256" s="3" t="s">
        <v>33</v>
      </c>
      <c r="N256" s="30">
        <f>(G256 + H256 + I256 ) / L256</f>
        <v>5.1986616224487935E-2</v>
      </c>
    </row>
    <row r="257" spans="1:14" ht="14.25" customHeight="1">
      <c r="A257" s="3" t="s">
        <v>113</v>
      </c>
      <c r="B257" s="3" t="s">
        <v>44</v>
      </c>
      <c r="C257" s="9" t="s">
        <v>114</v>
      </c>
      <c r="D257" s="3" t="s">
        <v>31</v>
      </c>
      <c r="E257" s="3" t="s">
        <v>551</v>
      </c>
      <c r="F257" s="3" t="s">
        <v>553</v>
      </c>
      <c r="G257" s="12">
        <v>2384</v>
      </c>
      <c r="H257" s="12">
        <v>1246</v>
      </c>
      <c r="I257" s="12">
        <v>160</v>
      </c>
      <c r="J257" s="12">
        <v>2004</v>
      </c>
      <c r="K257" s="13">
        <v>2701</v>
      </c>
      <c r="L257" s="12">
        <v>73142</v>
      </c>
      <c r="M257" s="3" t="s">
        <v>33</v>
      </c>
      <c r="N257" s="30">
        <f>(G257 + H257 + I257 ) / L257</f>
        <v>5.1817013480626728E-2</v>
      </c>
    </row>
    <row r="258" spans="1:14" ht="14.25" customHeight="1">
      <c r="A258" s="3" t="s">
        <v>112</v>
      </c>
      <c r="B258" s="3" t="s">
        <v>44</v>
      </c>
      <c r="C258" s="10">
        <v>45715</v>
      </c>
      <c r="D258" s="3" t="s">
        <v>31</v>
      </c>
      <c r="E258" s="3" t="s">
        <v>547</v>
      </c>
      <c r="F258" s="3" t="s">
        <v>548</v>
      </c>
      <c r="G258" s="12">
        <v>8970</v>
      </c>
      <c r="H258" s="12">
        <v>331</v>
      </c>
      <c r="I258" s="12">
        <v>968</v>
      </c>
      <c r="J258" s="12">
        <v>2296</v>
      </c>
      <c r="K258" s="13">
        <v>24613</v>
      </c>
      <c r="L258" s="12">
        <v>198562</v>
      </c>
      <c r="M258" s="3" t="s">
        <v>24</v>
      </c>
      <c r="N258" s="30">
        <f>(G258 + H258 + I258 ) / L258</f>
        <v>5.1716844109144754E-2</v>
      </c>
    </row>
    <row r="259" spans="1:14" ht="14.25" customHeight="1">
      <c r="A259" s="3" t="s">
        <v>110</v>
      </c>
      <c r="B259" s="3" t="s">
        <v>20</v>
      </c>
      <c r="C259" s="9" t="s">
        <v>111</v>
      </c>
      <c r="D259" s="3" t="s">
        <v>16</v>
      </c>
      <c r="E259" s="3" t="s">
        <v>560</v>
      </c>
      <c r="F259" s="3" t="s">
        <v>88</v>
      </c>
      <c r="G259" s="12">
        <v>3062</v>
      </c>
      <c r="H259" s="12">
        <v>1124</v>
      </c>
      <c r="I259" s="12">
        <v>538</v>
      </c>
      <c r="J259" s="12">
        <v>2935</v>
      </c>
      <c r="K259" s="13">
        <v>69749</v>
      </c>
      <c r="L259" s="12">
        <v>91924</v>
      </c>
      <c r="M259" s="3" t="s">
        <v>24</v>
      </c>
      <c r="N259" s="30">
        <f>(G259 + H259 + I259 ) / L259</f>
        <v>5.1390278926069365E-2</v>
      </c>
    </row>
    <row r="260" spans="1:14" ht="14.25" customHeight="1">
      <c r="A260" s="3" t="s">
        <v>108</v>
      </c>
      <c r="B260" s="3" t="s">
        <v>44</v>
      </c>
      <c r="C260" s="9" t="s">
        <v>109</v>
      </c>
      <c r="D260" s="3" t="s">
        <v>16</v>
      </c>
      <c r="E260" s="3" t="s">
        <v>549</v>
      </c>
      <c r="F260" s="3" t="s">
        <v>550</v>
      </c>
      <c r="G260" s="12">
        <v>7560</v>
      </c>
      <c r="H260" s="12">
        <v>1139</v>
      </c>
      <c r="I260" s="12">
        <v>248</v>
      </c>
      <c r="J260" s="12">
        <v>1624</v>
      </c>
      <c r="K260" s="13">
        <v>72237</v>
      </c>
      <c r="L260" s="12">
        <v>177084</v>
      </c>
      <c r="M260" s="3" t="s">
        <v>28</v>
      </c>
      <c r="N260" s="30">
        <f>(G260 + H260 + I260 ) / L260</f>
        <v>5.0524045085947912E-2</v>
      </c>
    </row>
    <row r="261" spans="1:14" ht="14.25" customHeight="1">
      <c r="A261" s="3" t="s">
        <v>106</v>
      </c>
      <c r="B261" s="3" t="s">
        <v>14</v>
      </c>
      <c r="C261" s="9" t="s">
        <v>107</v>
      </c>
      <c r="D261" s="3" t="s">
        <v>16</v>
      </c>
      <c r="E261" s="3" t="s">
        <v>547</v>
      </c>
      <c r="F261" s="3" t="s">
        <v>548</v>
      </c>
      <c r="G261" s="12">
        <v>9943</v>
      </c>
      <c r="H261" s="12">
        <v>1274</v>
      </c>
      <c r="I261" s="12">
        <v>336</v>
      </c>
      <c r="J261" s="12">
        <v>389</v>
      </c>
      <c r="K261" s="13">
        <v>6145</v>
      </c>
      <c r="L261" s="12">
        <v>231305</v>
      </c>
      <c r="M261" s="3" t="s">
        <v>33</v>
      </c>
      <c r="N261" s="30">
        <f>(G261 + H261 + I261 ) / L261</f>
        <v>4.9947039623008581E-2</v>
      </c>
    </row>
    <row r="262" spans="1:14" ht="14.25" customHeight="1">
      <c r="A262" s="3" t="s">
        <v>104</v>
      </c>
      <c r="B262" s="3" t="s">
        <v>14</v>
      </c>
      <c r="C262" s="9" t="s">
        <v>105</v>
      </c>
      <c r="D262" s="3" t="s">
        <v>31</v>
      </c>
      <c r="E262" s="3" t="s">
        <v>549</v>
      </c>
      <c r="F262" s="3" t="s">
        <v>550</v>
      </c>
      <c r="G262" s="12">
        <v>10717</v>
      </c>
      <c r="H262" s="12">
        <v>760</v>
      </c>
      <c r="I262" s="12">
        <v>460</v>
      </c>
      <c r="J262" s="12">
        <v>1316</v>
      </c>
      <c r="K262" s="13">
        <v>18164</v>
      </c>
      <c r="L262" s="12">
        <v>240641</v>
      </c>
      <c r="M262" s="3" t="s">
        <v>18</v>
      </c>
      <c r="N262" s="30">
        <f>(G262 + H262 + I262 ) / L262</f>
        <v>4.9605013277039242E-2</v>
      </c>
    </row>
    <row r="263" spans="1:14" ht="14.25" customHeight="1">
      <c r="A263" s="3" t="s">
        <v>101</v>
      </c>
      <c r="B263" s="3" t="s">
        <v>20</v>
      </c>
      <c r="C263" s="9" t="s">
        <v>102</v>
      </c>
      <c r="D263" s="3" t="s">
        <v>35</v>
      </c>
      <c r="E263" s="3" t="s">
        <v>549</v>
      </c>
      <c r="F263" s="3" t="s">
        <v>550</v>
      </c>
      <c r="G263" s="12">
        <v>6363</v>
      </c>
      <c r="H263" s="12">
        <v>1341</v>
      </c>
      <c r="I263" s="12">
        <v>222</v>
      </c>
      <c r="J263" s="12">
        <v>2712</v>
      </c>
      <c r="K263" s="13">
        <v>19987</v>
      </c>
      <c r="L263" s="12">
        <v>160585</v>
      </c>
      <c r="M263" s="3" t="s">
        <v>28</v>
      </c>
      <c r="N263" s="30">
        <f>(G263 + H263 + I263 ) / L263</f>
        <v>4.9357038328611019E-2</v>
      </c>
    </row>
    <row r="264" spans="1:14" ht="14.25" customHeight="1">
      <c r="A264" s="3" t="s">
        <v>99</v>
      </c>
      <c r="B264" s="3" t="s">
        <v>14</v>
      </c>
      <c r="C264" s="9" t="s">
        <v>100</v>
      </c>
      <c r="D264" s="3" t="s">
        <v>16</v>
      </c>
      <c r="E264" s="3" t="s">
        <v>556</v>
      </c>
      <c r="F264" s="3" t="s">
        <v>557</v>
      </c>
      <c r="G264" s="12">
        <v>10472</v>
      </c>
      <c r="H264" s="12">
        <v>401</v>
      </c>
      <c r="I264" s="12">
        <v>668</v>
      </c>
      <c r="J264" s="12">
        <v>383</v>
      </c>
      <c r="K264" s="13">
        <v>37571</v>
      </c>
      <c r="L264" s="12">
        <v>249203</v>
      </c>
      <c r="M264" s="3" t="s">
        <v>28</v>
      </c>
      <c r="N264" s="30">
        <f>(G264 + H264 + I264 ) / L264</f>
        <v>4.6311641513143903E-2</v>
      </c>
    </row>
    <row r="265" spans="1:14" ht="14.25" customHeight="1">
      <c r="A265" s="3" t="s">
        <v>97</v>
      </c>
      <c r="B265" s="3" t="s">
        <v>44</v>
      </c>
      <c r="C265" s="9" t="s">
        <v>98</v>
      </c>
      <c r="D265" s="3" t="s">
        <v>16</v>
      </c>
      <c r="E265" s="3" t="s">
        <v>554</v>
      </c>
      <c r="F265" s="3" t="s">
        <v>555</v>
      </c>
      <c r="G265" s="12">
        <v>4193</v>
      </c>
      <c r="H265" s="12">
        <v>924</v>
      </c>
      <c r="I265" s="12">
        <v>707</v>
      </c>
      <c r="J265" s="12">
        <v>2696</v>
      </c>
      <c r="K265" s="13">
        <v>23275</v>
      </c>
      <c r="L265" s="12">
        <v>126652</v>
      </c>
      <c r="M265" s="3" t="s">
        <v>24</v>
      </c>
      <c r="N265" s="30">
        <f>(G265 + H265 + I265 ) / L265</f>
        <v>4.5984271863057827E-2</v>
      </c>
    </row>
    <row r="266" spans="1:14" ht="14.25" customHeight="1">
      <c r="A266" s="3" t="s">
        <v>95</v>
      </c>
      <c r="B266" s="3" t="s">
        <v>44</v>
      </c>
      <c r="C266" s="9" t="s">
        <v>96</v>
      </c>
      <c r="D266" s="3" t="s">
        <v>16</v>
      </c>
      <c r="E266" s="3" t="s">
        <v>558</v>
      </c>
      <c r="F266" s="3" t="s">
        <v>559</v>
      </c>
      <c r="G266" s="12">
        <v>5419</v>
      </c>
      <c r="H266" s="12">
        <v>1150</v>
      </c>
      <c r="I266" s="12">
        <v>656</v>
      </c>
      <c r="J266" s="12">
        <v>1990</v>
      </c>
      <c r="K266" s="13">
        <v>410</v>
      </c>
      <c r="L266" s="12">
        <v>158154</v>
      </c>
      <c r="M266" s="3" t="s">
        <v>28</v>
      </c>
      <c r="N266" s="30">
        <f>(G266 + H266 + I266 ) / L266</f>
        <v>4.5683321319726342E-2</v>
      </c>
    </row>
    <row r="267" spans="1:14" ht="14.25" customHeight="1">
      <c r="A267" s="3" t="s">
        <v>94</v>
      </c>
      <c r="B267" s="3" t="s">
        <v>14</v>
      </c>
      <c r="C267" s="9" t="s">
        <v>21</v>
      </c>
      <c r="D267" s="3" t="s">
        <v>16</v>
      </c>
      <c r="E267" s="3" t="s">
        <v>556</v>
      </c>
      <c r="F267" s="3" t="s">
        <v>557</v>
      </c>
      <c r="G267" s="12">
        <v>8376</v>
      </c>
      <c r="H267" s="12">
        <v>1154</v>
      </c>
      <c r="I267" s="12">
        <v>422</v>
      </c>
      <c r="J267" s="12">
        <v>1907</v>
      </c>
      <c r="K267" s="13">
        <v>36874</v>
      </c>
      <c r="L267" s="12">
        <v>218486</v>
      </c>
      <c r="M267" s="3" t="s">
        <v>28</v>
      </c>
      <c r="N267" s="30">
        <f>(G267 + H267 + I267 ) / L267</f>
        <v>4.5549829279679245E-2</v>
      </c>
    </row>
    <row r="268" spans="1:14" ht="14.25" customHeight="1">
      <c r="A268" s="3" t="s">
        <v>92</v>
      </c>
      <c r="B268" s="3" t="s">
        <v>62</v>
      </c>
      <c r="C268" s="9" t="s">
        <v>93</v>
      </c>
      <c r="D268" s="3" t="s">
        <v>16</v>
      </c>
      <c r="E268" s="3" t="s">
        <v>554</v>
      </c>
      <c r="F268" s="3" t="s">
        <v>555</v>
      </c>
      <c r="G268" s="12">
        <v>8988</v>
      </c>
      <c r="H268" s="12">
        <v>228</v>
      </c>
      <c r="I268" s="12">
        <v>766</v>
      </c>
      <c r="J268" s="12">
        <v>652</v>
      </c>
      <c r="K268" s="13">
        <v>63789</v>
      </c>
      <c r="L268" s="12">
        <v>219785</v>
      </c>
      <c r="M268" s="3" t="s">
        <v>28</v>
      </c>
      <c r="N268" s="30">
        <f>(G268 + H268 + I268 ) / L268</f>
        <v>4.541711217781013E-2</v>
      </c>
    </row>
    <row r="269" spans="1:14" ht="14.25" customHeight="1">
      <c r="A269" s="3" t="s">
        <v>91</v>
      </c>
      <c r="B269" s="3" t="s">
        <v>20</v>
      </c>
      <c r="C269" s="11">
        <v>45924</v>
      </c>
      <c r="D269" s="3" t="s">
        <v>35</v>
      </c>
      <c r="E269" s="3" t="s">
        <v>561</v>
      </c>
      <c r="F269" s="3" t="s">
        <v>551</v>
      </c>
      <c r="G269" s="12">
        <v>3342</v>
      </c>
      <c r="H269" s="12">
        <v>787</v>
      </c>
      <c r="I269" s="12">
        <v>375</v>
      </c>
      <c r="J269" s="12">
        <v>907</v>
      </c>
      <c r="K269" s="13">
        <v>85823</v>
      </c>
      <c r="L269" s="12">
        <v>99189</v>
      </c>
      <c r="M269" s="3" t="s">
        <v>37</v>
      </c>
      <c r="N269" s="30">
        <f>(G269 + H269 + I269 ) / L269</f>
        <v>4.5408260996683103E-2</v>
      </c>
    </row>
    <row r="270" spans="1:14" ht="14.25" customHeight="1">
      <c r="A270" s="3" t="s">
        <v>89</v>
      </c>
      <c r="B270" s="3" t="s">
        <v>62</v>
      </c>
      <c r="C270" s="9" t="s">
        <v>90</v>
      </c>
      <c r="D270" s="3" t="s">
        <v>31</v>
      </c>
      <c r="E270" s="3" t="s">
        <v>551</v>
      </c>
      <c r="F270" s="3" t="s">
        <v>552</v>
      </c>
      <c r="G270" s="12">
        <v>8941</v>
      </c>
      <c r="H270" s="12">
        <v>911</v>
      </c>
      <c r="I270" s="12">
        <v>166</v>
      </c>
      <c r="J270" s="12">
        <v>1217</v>
      </c>
      <c r="K270" s="13">
        <v>68817</v>
      </c>
      <c r="L270" s="12">
        <v>221180</v>
      </c>
      <c r="M270" s="3" t="s">
        <v>18</v>
      </c>
      <c r="N270" s="30">
        <f>(G270 + H270 + I270 ) / L270</f>
        <v>4.5293426168731353E-2</v>
      </c>
    </row>
    <row r="271" spans="1:14" ht="14.25" customHeight="1">
      <c r="A271" s="3" t="s">
        <v>87</v>
      </c>
      <c r="B271" s="3" t="s">
        <v>44</v>
      </c>
      <c r="C271" s="10">
        <v>45931</v>
      </c>
      <c r="D271" s="3" t="s">
        <v>16</v>
      </c>
      <c r="E271" s="3" t="s">
        <v>88</v>
      </c>
      <c r="F271" s="3"/>
      <c r="G271" s="12">
        <v>6188</v>
      </c>
      <c r="H271" s="12">
        <v>774</v>
      </c>
      <c r="I271" s="12">
        <v>647</v>
      </c>
      <c r="J271" s="12">
        <v>1830</v>
      </c>
      <c r="K271" s="13">
        <v>55436</v>
      </c>
      <c r="L271" s="12">
        <v>175542</v>
      </c>
      <c r="M271" s="3" t="s">
        <v>37</v>
      </c>
      <c r="N271" s="30">
        <f>(G271 + H271 + I271 ) / L271</f>
        <v>4.3345752013763089E-2</v>
      </c>
    </row>
    <row r="272" spans="1:14" ht="14.25" customHeight="1">
      <c r="A272" s="3" t="s">
        <v>85</v>
      </c>
      <c r="B272" s="3" t="s">
        <v>44</v>
      </c>
      <c r="C272" s="9" t="s">
        <v>86</v>
      </c>
      <c r="D272" s="3" t="s">
        <v>35</v>
      </c>
      <c r="E272" s="3" t="s">
        <v>556</v>
      </c>
      <c r="F272" s="3" t="s">
        <v>557</v>
      </c>
      <c r="G272" s="12">
        <v>7989</v>
      </c>
      <c r="H272" s="12">
        <v>1206</v>
      </c>
      <c r="I272" s="12">
        <v>376</v>
      </c>
      <c r="J272" s="12">
        <v>2769</v>
      </c>
      <c r="K272" s="13">
        <v>27550</v>
      </c>
      <c r="L272" s="12">
        <v>221749</v>
      </c>
      <c r="M272" s="3" t="s">
        <v>28</v>
      </c>
      <c r="N272" s="30">
        <f>(G272 + H272 + I272 ) / L272</f>
        <v>4.3161412227338117E-2</v>
      </c>
    </row>
    <row r="273" spans="1:14" ht="14.25" customHeight="1">
      <c r="A273" s="3" t="s">
        <v>83</v>
      </c>
      <c r="B273" s="3" t="s">
        <v>62</v>
      </c>
      <c r="C273" s="9" t="s">
        <v>84</v>
      </c>
      <c r="D273" s="3" t="s">
        <v>35</v>
      </c>
      <c r="E273" s="3" t="s">
        <v>561</v>
      </c>
      <c r="F273" s="3" t="s">
        <v>551</v>
      </c>
      <c r="G273" s="12">
        <v>6858</v>
      </c>
      <c r="H273" s="12">
        <v>415</v>
      </c>
      <c r="I273" s="12">
        <v>366</v>
      </c>
      <c r="J273" s="12">
        <v>2761</v>
      </c>
      <c r="K273" s="13">
        <v>2988</v>
      </c>
      <c r="L273" s="12">
        <v>177348</v>
      </c>
      <c r="M273" s="3" t="s">
        <v>33</v>
      </c>
      <c r="N273" s="30">
        <f>(G273 + H273 + I273 ) / L273</f>
        <v>4.3073505198818141E-2</v>
      </c>
    </row>
    <row r="274" spans="1:14" ht="14.25" customHeight="1">
      <c r="A274" s="3" t="s">
        <v>81</v>
      </c>
      <c r="B274" s="3" t="s">
        <v>44</v>
      </c>
      <c r="C274" s="9" t="s">
        <v>82</v>
      </c>
      <c r="D274" s="3" t="s">
        <v>16</v>
      </c>
      <c r="E274" s="3" t="s">
        <v>558</v>
      </c>
      <c r="F274" s="3" t="s">
        <v>559</v>
      </c>
      <c r="G274" s="12">
        <v>5900</v>
      </c>
      <c r="H274" s="12">
        <v>546</v>
      </c>
      <c r="I274" s="12">
        <v>592</v>
      </c>
      <c r="J274" s="12">
        <v>1594</v>
      </c>
      <c r="K274" s="13">
        <v>38627</v>
      </c>
      <c r="L274" s="12">
        <v>164398</v>
      </c>
      <c r="M274" s="3" t="s">
        <v>18</v>
      </c>
      <c r="N274" s="30">
        <f>(G274 + H274 + I274 ) / L274</f>
        <v>4.2810739790021778E-2</v>
      </c>
    </row>
    <row r="275" spans="1:14" ht="14.25" customHeight="1">
      <c r="A275" s="3" t="s">
        <v>79</v>
      </c>
      <c r="B275" s="3" t="s">
        <v>14</v>
      </c>
      <c r="C275" s="9" t="s">
        <v>80</v>
      </c>
      <c r="D275" s="3" t="s">
        <v>16</v>
      </c>
      <c r="E275" s="3" t="s">
        <v>51</v>
      </c>
      <c r="F275" s="3"/>
      <c r="G275" s="12">
        <v>8288</v>
      </c>
      <c r="H275" s="12">
        <v>1401</v>
      </c>
      <c r="I275" s="12">
        <v>819</v>
      </c>
      <c r="J275" s="12">
        <v>1235</v>
      </c>
      <c r="K275" s="13">
        <v>33446</v>
      </c>
      <c r="L275" s="12">
        <v>248786</v>
      </c>
      <c r="M275" s="3" t="s">
        <v>33</v>
      </c>
      <c r="N275" s="30">
        <f>(G275 + H275 + I275 ) / L275</f>
        <v>4.2237103373984064E-2</v>
      </c>
    </row>
    <row r="276" spans="1:14" ht="14.25" customHeight="1">
      <c r="A276" s="3" t="s">
        <v>77</v>
      </c>
      <c r="B276" s="3" t="s">
        <v>14</v>
      </c>
      <c r="C276" s="9" t="s">
        <v>78</v>
      </c>
      <c r="D276" s="3" t="s">
        <v>22</v>
      </c>
      <c r="E276" s="3" t="s">
        <v>547</v>
      </c>
      <c r="F276" s="3" t="s">
        <v>548</v>
      </c>
      <c r="G276" s="12">
        <v>8283</v>
      </c>
      <c r="H276" s="12">
        <v>720</v>
      </c>
      <c r="I276" s="12">
        <v>888</v>
      </c>
      <c r="J276" s="12">
        <v>611</v>
      </c>
      <c r="K276" s="13">
        <v>52791</v>
      </c>
      <c r="L276" s="12">
        <v>235229</v>
      </c>
      <c r="M276" s="3" t="s">
        <v>33</v>
      </c>
      <c r="N276" s="30">
        <f>(G276 + H276 + I276 ) / L276</f>
        <v>4.2048386891072105E-2</v>
      </c>
    </row>
    <row r="277" spans="1:14" ht="14.25" customHeight="1">
      <c r="A277" s="3" t="s">
        <v>75</v>
      </c>
      <c r="B277" s="3" t="s">
        <v>44</v>
      </c>
      <c r="C277" s="9" t="s">
        <v>76</v>
      </c>
      <c r="D277" s="3" t="s">
        <v>31</v>
      </c>
      <c r="E277" s="3" t="s">
        <v>551</v>
      </c>
      <c r="F277" s="3" t="s">
        <v>552</v>
      </c>
      <c r="G277" s="12">
        <v>6632</v>
      </c>
      <c r="H277" s="12">
        <v>254</v>
      </c>
      <c r="I277" s="12">
        <v>525</v>
      </c>
      <c r="J277" s="12">
        <v>1013</v>
      </c>
      <c r="K277" s="13">
        <v>13838</v>
      </c>
      <c r="L277" s="12">
        <v>180180</v>
      </c>
      <c r="M277" s="3" t="s">
        <v>33</v>
      </c>
      <c r="N277" s="30">
        <f>(G277 + H277 + I277 ) / L277</f>
        <v>4.1131091131091133E-2</v>
      </c>
    </row>
    <row r="278" spans="1:14" ht="14.25" customHeight="1">
      <c r="A278" s="3" t="s">
        <v>74</v>
      </c>
      <c r="B278" s="3" t="s">
        <v>20</v>
      </c>
      <c r="C278" s="10">
        <v>45917</v>
      </c>
      <c r="D278" s="3" t="s">
        <v>16</v>
      </c>
      <c r="E278" s="3" t="s">
        <v>547</v>
      </c>
      <c r="F278" s="3" t="s">
        <v>548</v>
      </c>
      <c r="G278" s="12">
        <v>2117</v>
      </c>
      <c r="H278" s="12">
        <v>1133</v>
      </c>
      <c r="I278" s="12">
        <v>203</v>
      </c>
      <c r="J278" s="12">
        <v>1173</v>
      </c>
      <c r="K278" s="13">
        <v>40125</v>
      </c>
      <c r="L278" s="12">
        <v>85379</v>
      </c>
      <c r="M278" s="3" t="s">
        <v>37</v>
      </c>
      <c r="N278" s="30">
        <f>(G278 + H278 + I278 ) / L278</f>
        <v>4.0443200318579509E-2</v>
      </c>
    </row>
    <row r="279" spans="1:14" ht="14.25" customHeight="1">
      <c r="A279" s="3" t="s">
        <v>72</v>
      </c>
      <c r="B279" s="3" t="s">
        <v>20</v>
      </c>
      <c r="C279" s="9" t="s">
        <v>73</v>
      </c>
      <c r="D279" s="3" t="s">
        <v>22</v>
      </c>
      <c r="E279" s="3" t="s">
        <v>558</v>
      </c>
      <c r="F279" s="3" t="s">
        <v>559</v>
      </c>
      <c r="G279" s="12">
        <v>7122</v>
      </c>
      <c r="H279" s="12">
        <v>628</v>
      </c>
      <c r="I279" s="12">
        <v>757</v>
      </c>
      <c r="J279" s="12">
        <v>2313</v>
      </c>
      <c r="K279" s="13">
        <v>50924</v>
      </c>
      <c r="L279" s="12">
        <v>210954</v>
      </c>
      <c r="M279" s="3" t="s">
        <v>18</v>
      </c>
      <c r="N279" s="30">
        <f>(G279 + H279 + I279 ) / L279</f>
        <v>4.0326327066564277E-2</v>
      </c>
    </row>
    <row r="280" spans="1:14" ht="14.25" customHeight="1">
      <c r="A280" s="3" t="s">
        <v>71</v>
      </c>
      <c r="B280" s="3" t="s">
        <v>20</v>
      </c>
      <c r="C280" s="10">
        <v>45922</v>
      </c>
      <c r="D280" s="3" t="s">
        <v>22</v>
      </c>
      <c r="E280" s="3" t="s">
        <v>562</v>
      </c>
      <c r="F280" s="3" t="s">
        <v>563</v>
      </c>
      <c r="G280" s="12">
        <v>8996</v>
      </c>
      <c r="H280" s="12">
        <v>329</v>
      </c>
      <c r="I280" s="12">
        <v>378</v>
      </c>
      <c r="J280" s="12">
        <v>2384</v>
      </c>
      <c r="K280" s="13">
        <v>39404</v>
      </c>
      <c r="L280" s="12">
        <v>242724</v>
      </c>
      <c r="M280" s="3" t="s">
        <v>37</v>
      </c>
      <c r="N280" s="30">
        <f>(G280 + H280 + I280 ) / L280</f>
        <v>3.9975445361810122E-2</v>
      </c>
    </row>
    <row r="281" spans="1:14" ht="14.25" customHeight="1">
      <c r="A281" s="3" t="s">
        <v>70</v>
      </c>
      <c r="B281" s="3" t="s">
        <v>20</v>
      </c>
      <c r="C281" s="10">
        <v>45906</v>
      </c>
      <c r="D281" s="3" t="s">
        <v>35</v>
      </c>
      <c r="E281" s="3" t="s">
        <v>554</v>
      </c>
      <c r="F281" s="3" t="s">
        <v>555</v>
      </c>
      <c r="G281" s="12">
        <v>7124</v>
      </c>
      <c r="H281" s="12">
        <v>469</v>
      </c>
      <c r="I281" s="12">
        <v>851</v>
      </c>
      <c r="J281" s="12">
        <v>2571</v>
      </c>
      <c r="K281" s="13">
        <v>23275</v>
      </c>
      <c r="L281" s="12">
        <v>216313</v>
      </c>
      <c r="M281" s="3" t="s">
        <v>37</v>
      </c>
      <c r="N281" s="30">
        <f>(G281 + H281 + I281 ) / L281</f>
        <v>3.9036026498638549E-2</v>
      </c>
    </row>
    <row r="282" spans="1:14" ht="14.25" customHeight="1">
      <c r="A282" s="3" t="s">
        <v>68</v>
      </c>
      <c r="B282" s="3" t="s">
        <v>44</v>
      </c>
      <c r="C282" s="9" t="s">
        <v>69</v>
      </c>
      <c r="D282" s="3" t="s">
        <v>35</v>
      </c>
      <c r="E282" s="3" t="s">
        <v>554</v>
      </c>
      <c r="F282" s="3" t="s">
        <v>555</v>
      </c>
      <c r="G282" s="12">
        <v>4048</v>
      </c>
      <c r="H282" s="12">
        <v>751</v>
      </c>
      <c r="I282" s="12">
        <v>930</v>
      </c>
      <c r="J282" s="12">
        <v>1382</v>
      </c>
      <c r="K282" s="13">
        <v>16844</v>
      </c>
      <c r="L282" s="12">
        <v>148177</v>
      </c>
      <c r="M282" s="3" t="s">
        <v>24</v>
      </c>
      <c r="N282" s="30">
        <f>(G282 + H282 + I282 ) / L282</f>
        <v>3.8663220337839206E-2</v>
      </c>
    </row>
    <row r="283" spans="1:14" ht="14.25" customHeight="1">
      <c r="A283" s="3" t="s">
        <v>66</v>
      </c>
      <c r="B283" s="3" t="s">
        <v>14</v>
      </c>
      <c r="C283" s="10">
        <v>45933</v>
      </c>
      <c r="D283" s="3" t="s">
        <v>31</v>
      </c>
      <c r="E283" s="3" t="s">
        <v>561</v>
      </c>
      <c r="F283" s="3" t="s">
        <v>551</v>
      </c>
      <c r="G283" s="12">
        <v>6777</v>
      </c>
      <c r="H283" s="12">
        <v>617</v>
      </c>
      <c r="I283" s="12">
        <v>551</v>
      </c>
      <c r="J283" s="12">
        <v>2109</v>
      </c>
      <c r="K283" s="13">
        <v>18559</v>
      </c>
      <c r="L283" s="12">
        <v>208452</v>
      </c>
      <c r="M283" s="3" t="s">
        <v>37</v>
      </c>
      <c r="N283" s="30">
        <f>(G283 + H283 + I283 ) / L283</f>
        <v>3.8114290100358834E-2</v>
      </c>
    </row>
    <row r="284" spans="1:14" ht="14.25" customHeight="1">
      <c r="A284" s="3" t="s">
        <v>65</v>
      </c>
      <c r="B284" s="3" t="s">
        <v>62</v>
      </c>
      <c r="C284" s="10">
        <v>45916</v>
      </c>
      <c r="D284" s="3" t="s">
        <v>35</v>
      </c>
      <c r="E284" s="3" t="s">
        <v>51</v>
      </c>
      <c r="F284" s="3"/>
      <c r="G284" s="12">
        <v>6809</v>
      </c>
      <c r="H284" s="12">
        <v>397</v>
      </c>
      <c r="I284" s="12">
        <v>813</v>
      </c>
      <c r="J284" s="12">
        <v>1125</v>
      </c>
      <c r="K284" s="13">
        <v>12206</v>
      </c>
      <c r="L284" s="12">
        <v>218136</v>
      </c>
      <c r="M284" s="3" t="s">
        <v>37</v>
      </c>
      <c r="N284" s="30">
        <f>(G284 + H284 + I284 ) / L284</f>
        <v>3.6761469908680823E-2</v>
      </c>
    </row>
    <row r="285" spans="1:14" ht="14.25" customHeight="1">
      <c r="A285" s="3" t="s">
        <v>63</v>
      </c>
      <c r="B285" s="3" t="s">
        <v>14</v>
      </c>
      <c r="C285" s="9" t="s">
        <v>64</v>
      </c>
      <c r="D285" s="3" t="s">
        <v>22</v>
      </c>
      <c r="E285" s="3" t="s">
        <v>551</v>
      </c>
      <c r="F285" s="3" t="s">
        <v>552</v>
      </c>
      <c r="G285" s="12">
        <v>3917</v>
      </c>
      <c r="H285" s="12">
        <v>865</v>
      </c>
      <c r="I285" s="12">
        <v>759</v>
      </c>
      <c r="J285" s="12">
        <v>2282</v>
      </c>
      <c r="K285" s="13">
        <v>56125</v>
      </c>
      <c r="L285" s="12">
        <v>154014</v>
      </c>
      <c r="M285" s="3" t="s">
        <v>33</v>
      </c>
      <c r="N285" s="30">
        <f>(G285 + H285 + I285 ) / L285</f>
        <v>3.5977248821535704E-2</v>
      </c>
    </row>
    <row r="286" spans="1:14" ht="14.25" customHeight="1">
      <c r="A286" s="3" t="s">
        <v>61</v>
      </c>
      <c r="B286" s="3" t="s">
        <v>62</v>
      </c>
      <c r="C286" s="10">
        <v>45918</v>
      </c>
      <c r="D286" s="3" t="s">
        <v>22</v>
      </c>
      <c r="E286" s="3" t="s">
        <v>547</v>
      </c>
      <c r="F286" s="3" t="s">
        <v>548</v>
      </c>
      <c r="G286" s="12">
        <v>3828</v>
      </c>
      <c r="H286" s="12">
        <v>203</v>
      </c>
      <c r="I286" s="12">
        <v>506</v>
      </c>
      <c r="J286" s="12">
        <v>2440</v>
      </c>
      <c r="K286" s="13">
        <v>63650</v>
      </c>
      <c r="L286" s="12">
        <v>126365</v>
      </c>
      <c r="M286" s="3" t="s">
        <v>37</v>
      </c>
      <c r="N286" s="30">
        <f>(G286 + H286 + I286 ) / L286</f>
        <v>3.5903929094290347E-2</v>
      </c>
    </row>
    <row r="287" spans="1:14" ht="14.25" customHeight="1">
      <c r="A287" s="3" t="s">
        <v>59</v>
      </c>
      <c r="B287" s="3" t="s">
        <v>20</v>
      </c>
      <c r="C287" s="10">
        <v>45940</v>
      </c>
      <c r="D287" s="3" t="s">
        <v>16</v>
      </c>
      <c r="E287" s="3" t="s">
        <v>558</v>
      </c>
      <c r="F287" s="3" t="s">
        <v>559</v>
      </c>
      <c r="G287" s="12">
        <v>6621</v>
      </c>
      <c r="H287" s="12">
        <v>922</v>
      </c>
      <c r="I287" s="12">
        <v>930</v>
      </c>
      <c r="J287" s="12">
        <v>694</v>
      </c>
      <c r="K287" s="13">
        <v>839</v>
      </c>
      <c r="L287" s="12">
        <v>243532</v>
      </c>
      <c r="M287" s="3" t="s">
        <v>37</v>
      </c>
      <c r="N287" s="30">
        <f>(G287 + H287 + I287 ) / L287</f>
        <v>3.479214230573395E-2</v>
      </c>
    </row>
    <row r="288" spans="1:14" ht="14.25" customHeight="1">
      <c r="A288" s="3" t="s">
        <v>58</v>
      </c>
      <c r="B288" s="3" t="s">
        <v>44</v>
      </c>
      <c r="C288" s="10">
        <v>45942</v>
      </c>
      <c r="D288" s="3" t="s">
        <v>16</v>
      </c>
      <c r="E288" s="3" t="s">
        <v>554</v>
      </c>
      <c r="F288" s="3" t="s">
        <v>555</v>
      </c>
      <c r="G288" s="12">
        <v>7126</v>
      </c>
      <c r="H288" s="12">
        <v>484</v>
      </c>
      <c r="I288" s="12">
        <v>565</v>
      </c>
      <c r="J288" s="12">
        <v>573</v>
      </c>
      <c r="K288" s="13">
        <v>7389</v>
      </c>
      <c r="L288" s="12">
        <v>237096</v>
      </c>
      <c r="M288" s="3" t="s">
        <v>37</v>
      </c>
      <c r="N288" s="30">
        <f>(G288 + H288 + I288 ) / L288</f>
        <v>3.4479704423524646E-2</v>
      </c>
    </row>
    <row r="289" spans="1:14" ht="14.25" customHeight="1">
      <c r="A289" s="3" t="s">
        <v>56</v>
      </c>
      <c r="B289" s="3" t="s">
        <v>20</v>
      </c>
      <c r="C289" s="9" t="s">
        <v>57</v>
      </c>
      <c r="D289" s="3" t="s">
        <v>22</v>
      </c>
      <c r="E289" s="3" t="s">
        <v>554</v>
      </c>
      <c r="F289" s="3" t="s">
        <v>555</v>
      </c>
      <c r="G289" s="12">
        <v>6164</v>
      </c>
      <c r="H289" s="12">
        <v>326</v>
      </c>
      <c r="I289" s="12">
        <v>615</v>
      </c>
      <c r="J289" s="12">
        <v>2806</v>
      </c>
      <c r="K289" s="13">
        <v>38579</v>
      </c>
      <c r="L289" s="12">
        <v>206129</v>
      </c>
      <c r="M289" s="3" t="s">
        <v>18</v>
      </c>
      <c r="N289" s="30">
        <f>(G289 + H289 + I289 ) / L289</f>
        <v>3.4468706489625425E-2</v>
      </c>
    </row>
    <row r="290" spans="1:14" ht="14.25" customHeight="1">
      <c r="A290" s="3" t="s">
        <v>54</v>
      </c>
      <c r="B290" s="3" t="s">
        <v>20</v>
      </c>
      <c r="C290" s="9" t="s">
        <v>55</v>
      </c>
      <c r="D290" s="3" t="s">
        <v>16</v>
      </c>
      <c r="E290" s="3" t="s">
        <v>547</v>
      </c>
      <c r="F290" s="3" t="s">
        <v>548</v>
      </c>
      <c r="G290" s="12">
        <v>4219</v>
      </c>
      <c r="H290" s="12">
        <v>240</v>
      </c>
      <c r="I290" s="12">
        <v>670</v>
      </c>
      <c r="J290" s="12">
        <v>815</v>
      </c>
      <c r="K290" s="13">
        <v>11978</v>
      </c>
      <c r="L290" s="12">
        <v>159735</v>
      </c>
      <c r="M290" s="3" t="s">
        <v>24</v>
      </c>
      <c r="N290" s="30">
        <f>(G290 + H290 + I290 ) / L290</f>
        <v>3.2109431245500357E-2</v>
      </c>
    </row>
    <row r="291" spans="1:14" ht="14.25" customHeight="1">
      <c r="A291" s="3" t="s">
        <v>52</v>
      </c>
      <c r="B291" s="3" t="s">
        <v>14</v>
      </c>
      <c r="C291" s="9" t="s">
        <v>53</v>
      </c>
      <c r="D291" s="3" t="s">
        <v>31</v>
      </c>
      <c r="E291" s="3" t="s">
        <v>562</v>
      </c>
      <c r="F291" s="3" t="s">
        <v>563</v>
      </c>
      <c r="G291" s="12">
        <v>6208</v>
      </c>
      <c r="H291" s="12">
        <v>725</v>
      </c>
      <c r="I291" s="12">
        <v>309</v>
      </c>
      <c r="J291" s="12">
        <v>848</v>
      </c>
      <c r="K291" s="13">
        <v>39319</v>
      </c>
      <c r="L291" s="12">
        <v>225763</v>
      </c>
      <c r="M291" s="3" t="s">
        <v>33</v>
      </c>
      <c r="N291" s="30">
        <f>(G291 + H291 + I291 ) / L291</f>
        <v>3.207788698768177E-2</v>
      </c>
    </row>
    <row r="292" spans="1:14" ht="14.25" customHeight="1">
      <c r="A292" s="3" t="s">
        <v>49</v>
      </c>
      <c r="B292" s="3" t="s">
        <v>44</v>
      </c>
      <c r="C292" s="9" t="s">
        <v>50</v>
      </c>
      <c r="D292" s="3" t="s">
        <v>31</v>
      </c>
      <c r="E292" s="3" t="s">
        <v>51</v>
      </c>
      <c r="F292" s="3"/>
      <c r="G292" s="12">
        <v>6324</v>
      </c>
      <c r="H292" s="12">
        <v>908</v>
      </c>
      <c r="I292" s="12">
        <v>375</v>
      </c>
      <c r="J292" s="12">
        <v>758</v>
      </c>
      <c r="K292" s="13">
        <v>34850</v>
      </c>
      <c r="L292" s="12">
        <v>241039</v>
      </c>
      <c r="M292" s="3" t="s">
        <v>33</v>
      </c>
      <c r="N292" s="30">
        <f>(G292 + H292 + I292 ) / L292</f>
        <v>3.1559208260903839E-2</v>
      </c>
    </row>
    <row r="293" spans="1:14" ht="14.25" customHeight="1">
      <c r="A293" s="3" t="s">
        <v>47</v>
      </c>
      <c r="B293" s="3" t="s">
        <v>20</v>
      </c>
      <c r="C293" s="9" t="s">
        <v>48</v>
      </c>
      <c r="D293" s="3" t="s">
        <v>35</v>
      </c>
      <c r="E293" s="3" t="s">
        <v>551</v>
      </c>
      <c r="F293" s="3" t="s">
        <v>552</v>
      </c>
      <c r="G293" s="12">
        <v>4125</v>
      </c>
      <c r="H293" s="12">
        <v>1364</v>
      </c>
      <c r="I293" s="12">
        <v>319</v>
      </c>
      <c r="J293" s="12">
        <v>2848</v>
      </c>
      <c r="K293" s="13">
        <v>15379</v>
      </c>
      <c r="L293" s="12">
        <v>188159</v>
      </c>
      <c r="M293" s="3" t="s">
        <v>18</v>
      </c>
      <c r="N293" s="30">
        <f>(G293 + H293 + I293 ) / L293</f>
        <v>3.0867510988047343E-2</v>
      </c>
    </row>
    <row r="294" spans="1:14" ht="14.25" customHeight="1">
      <c r="A294" s="3" t="s">
        <v>43</v>
      </c>
      <c r="B294" s="3" t="s">
        <v>44</v>
      </c>
      <c r="C294" s="9" t="s">
        <v>45</v>
      </c>
      <c r="D294" s="3" t="s">
        <v>31</v>
      </c>
      <c r="E294" s="3" t="s">
        <v>554</v>
      </c>
      <c r="F294" s="3" t="s">
        <v>555</v>
      </c>
      <c r="G294" s="12">
        <v>3906</v>
      </c>
      <c r="H294" s="12">
        <v>1187</v>
      </c>
      <c r="I294" s="12">
        <v>589</v>
      </c>
      <c r="J294" s="12">
        <v>401</v>
      </c>
      <c r="K294" s="13">
        <v>52687</v>
      </c>
      <c r="L294" s="12">
        <v>196498</v>
      </c>
      <c r="M294" s="3" t="s">
        <v>33</v>
      </c>
      <c r="N294" s="30">
        <f>(G294 + H294 + I294 ) / L294</f>
        <v>2.8916324848090057E-2</v>
      </c>
    </row>
    <row r="295" spans="1:14" ht="14.25" customHeight="1">
      <c r="A295" s="3" t="s">
        <v>41</v>
      </c>
      <c r="B295" s="3" t="s">
        <v>20</v>
      </c>
      <c r="C295" s="9" t="s">
        <v>42</v>
      </c>
      <c r="D295" s="3" t="s">
        <v>31</v>
      </c>
      <c r="E295" s="3" t="s">
        <v>551</v>
      </c>
      <c r="F295" s="3" t="s">
        <v>553</v>
      </c>
      <c r="G295" s="12">
        <v>4590</v>
      </c>
      <c r="H295" s="12">
        <v>713</v>
      </c>
      <c r="I295" s="12">
        <v>479</v>
      </c>
      <c r="J295" s="12">
        <v>2730</v>
      </c>
      <c r="K295" s="13">
        <v>41050</v>
      </c>
      <c r="L295" s="12">
        <v>204246</v>
      </c>
      <c r="M295" s="3" t="s">
        <v>28</v>
      </c>
      <c r="N295" s="30">
        <f>(G295 + H295 + I295 ) / L295</f>
        <v>2.8308999931455206E-2</v>
      </c>
    </row>
    <row r="296" spans="1:14" ht="14.25" customHeight="1">
      <c r="A296" s="3" t="s">
        <v>38</v>
      </c>
      <c r="B296" s="3" t="s">
        <v>14</v>
      </c>
      <c r="C296" s="9" t="s">
        <v>39</v>
      </c>
      <c r="D296" s="3" t="s">
        <v>22</v>
      </c>
      <c r="E296" s="3" t="s">
        <v>560</v>
      </c>
      <c r="F296" s="3" t="s">
        <v>88</v>
      </c>
      <c r="G296" s="12">
        <v>3605</v>
      </c>
      <c r="H296" s="12">
        <v>206</v>
      </c>
      <c r="I296" s="12">
        <v>921</v>
      </c>
      <c r="J296" s="12">
        <v>852</v>
      </c>
      <c r="K296" s="13">
        <v>11660</v>
      </c>
      <c r="L296" s="12">
        <v>182635</v>
      </c>
      <c r="M296" s="3" t="s">
        <v>24</v>
      </c>
      <c r="N296" s="30">
        <f>(G296 + H296 + I296 ) / L296</f>
        <v>2.590960111698196E-2</v>
      </c>
    </row>
    <row r="297" spans="1:14" ht="14.25" customHeight="1">
      <c r="A297" s="3" t="s">
        <v>34</v>
      </c>
      <c r="B297" s="3" t="s">
        <v>20</v>
      </c>
      <c r="C297" s="10">
        <v>45915</v>
      </c>
      <c r="D297" s="3" t="s">
        <v>35</v>
      </c>
      <c r="E297" s="3" t="s">
        <v>556</v>
      </c>
      <c r="F297" s="3" t="s">
        <v>557</v>
      </c>
      <c r="G297" s="12">
        <v>5636</v>
      </c>
      <c r="H297" s="12">
        <v>303</v>
      </c>
      <c r="I297" s="12">
        <v>204</v>
      </c>
      <c r="J297" s="12">
        <v>2480</v>
      </c>
      <c r="K297" s="13">
        <v>7377</v>
      </c>
      <c r="L297" s="12">
        <v>241207</v>
      </c>
      <c r="M297" s="3" t="s">
        <v>37</v>
      </c>
      <c r="N297" s="30">
        <f>(G297 + H297 + I297 ) / L297</f>
        <v>2.5467751765081443E-2</v>
      </c>
    </row>
    <row r="298" spans="1:14" ht="14.25" customHeight="1">
      <c r="A298" s="3" t="s">
        <v>29</v>
      </c>
      <c r="B298" s="3" t="s">
        <v>14</v>
      </c>
      <c r="C298" s="9" t="s">
        <v>30</v>
      </c>
      <c r="D298" s="3" t="s">
        <v>31</v>
      </c>
      <c r="E298" s="3" t="s">
        <v>547</v>
      </c>
      <c r="F298" s="3" t="s">
        <v>548</v>
      </c>
      <c r="G298" s="12">
        <v>3252</v>
      </c>
      <c r="H298" s="12">
        <v>1043</v>
      </c>
      <c r="I298" s="12">
        <v>647</v>
      </c>
      <c r="J298" s="12">
        <v>1545</v>
      </c>
      <c r="K298" s="13">
        <v>18859</v>
      </c>
      <c r="L298" s="12">
        <v>222958</v>
      </c>
      <c r="M298" s="3" t="s">
        <v>33</v>
      </c>
      <c r="N298" s="30">
        <f>(G298 + H298 + I298 ) / L298</f>
        <v>2.2165609666394567E-2</v>
      </c>
    </row>
    <row r="299" spans="1:14" ht="14.25" customHeight="1">
      <c r="A299" s="3" t="s">
        <v>25</v>
      </c>
      <c r="B299" s="3" t="s">
        <v>20</v>
      </c>
      <c r="C299" s="9" t="s">
        <v>26</v>
      </c>
      <c r="D299" s="3" t="s">
        <v>16</v>
      </c>
      <c r="E299" s="3" t="s">
        <v>562</v>
      </c>
      <c r="F299" s="3" t="s">
        <v>563</v>
      </c>
      <c r="G299" s="12">
        <v>3531</v>
      </c>
      <c r="H299" s="12">
        <v>789</v>
      </c>
      <c r="I299" s="12">
        <v>467</v>
      </c>
      <c r="J299" s="12">
        <v>1867</v>
      </c>
      <c r="K299" s="13">
        <v>40816</v>
      </c>
      <c r="L299" s="12">
        <v>236037</v>
      </c>
      <c r="M299" s="3" t="s">
        <v>28</v>
      </c>
      <c r="N299" s="30">
        <f>(G299 + H299 + I299 ) / L299</f>
        <v>2.0280718700881641E-2</v>
      </c>
    </row>
    <row r="300" spans="1:14" ht="14.25" customHeight="1">
      <c r="A300" s="3" t="s">
        <v>19</v>
      </c>
      <c r="B300" s="3" t="s">
        <v>20</v>
      </c>
      <c r="C300" s="9" t="s">
        <v>21</v>
      </c>
      <c r="D300" s="3" t="s">
        <v>22</v>
      </c>
      <c r="E300" s="3" t="s">
        <v>551</v>
      </c>
      <c r="F300" s="3" t="s">
        <v>553</v>
      </c>
      <c r="G300" s="12">
        <v>3581</v>
      </c>
      <c r="H300" s="12">
        <v>517</v>
      </c>
      <c r="I300" s="12">
        <v>880</v>
      </c>
      <c r="J300" s="12">
        <v>1925</v>
      </c>
      <c r="K300" s="13">
        <v>23275</v>
      </c>
      <c r="L300" s="12">
        <v>248611</v>
      </c>
      <c r="M300" s="3" t="s">
        <v>24</v>
      </c>
      <c r="N300" s="30">
        <f>(G300 + H300 + I300 ) / L300</f>
        <v>2.0023249172401864E-2</v>
      </c>
    </row>
    <row r="301" spans="1:14" ht="14.25" customHeight="1">
      <c r="A301" s="3" t="s">
        <v>13</v>
      </c>
      <c r="B301" s="3" t="s">
        <v>14</v>
      </c>
      <c r="C301" s="9" t="s">
        <v>15</v>
      </c>
      <c r="D301" s="3" t="s">
        <v>16</v>
      </c>
      <c r="E301" s="3" t="s">
        <v>551</v>
      </c>
      <c r="F301" s="3" t="s">
        <v>552</v>
      </c>
      <c r="G301" s="12">
        <v>2302</v>
      </c>
      <c r="H301" s="12">
        <v>347</v>
      </c>
      <c r="I301" s="12">
        <v>642</v>
      </c>
      <c r="J301" s="12">
        <v>2175</v>
      </c>
      <c r="K301" s="13">
        <v>56378</v>
      </c>
      <c r="L301" s="12">
        <v>198056</v>
      </c>
      <c r="M301" s="3" t="s">
        <v>18</v>
      </c>
      <c r="N301" s="30">
        <f>(G301 + H301 + I301 ) / L301</f>
        <v>1.6616512501514722E-2</v>
      </c>
    </row>
    <row r="302" spans="1:14" ht="14.25" customHeight="1">
      <c r="K302" s="6"/>
      <c r="N302" s="30"/>
    </row>
    <row r="303" spans="1:14" ht="14.25" customHeight="1">
      <c r="K303" s="6"/>
      <c r="N303" s="30"/>
    </row>
    <row r="304" spans="1:14" ht="14.25" customHeight="1">
      <c r="A304" s="8"/>
      <c r="B304" s="8"/>
      <c r="C304" s="14"/>
      <c r="K304" s="6"/>
      <c r="N304" s="30"/>
    </row>
    <row r="305" spans="3:14" ht="14.25" customHeight="1">
      <c r="C305" s="14"/>
      <c r="K305" s="6"/>
      <c r="N305" s="30"/>
    </row>
    <row r="306" spans="3:14" ht="14.25" customHeight="1">
      <c r="C306" s="14"/>
      <c r="K306" s="6"/>
      <c r="N306" s="30"/>
    </row>
    <row r="307" spans="3:14" ht="14.25" customHeight="1">
      <c r="C307" s="14"/>
      <c r="K307" s="6"/>
      <c r="N307" s="30"/>
    </row>
    <row r="308" spans="3:14" ht="14.25" customHeight="1">
      <c r="C308" s="14"/>
      <c r="K308" s="6"/>
      <c r="N308" s="30"/>
    </row>
    <row r="309" spans="3:14" ht="14.25" customHeight="1">
      <c r="K309" s="6"/>
      <c r="N309" s="30"/>
    </row>
    <row r="310" spans="3:14" ht="14.25" customHeight="1">
      <c r="K310" s="6"/>
      <c r="N310" s="30"/>
    </row>
    <row r="311" spans="3:14" ht="14.25" customHeight="1">
      <c r="K311" s="6"/>
      <c r="N311" s="30"/>
    </row>
    <row r="312" spans="3:14" ht="14.25" customHeight="1">
      <c r="K312" s="6"/>
      <c r="N312" s="30"/>
    </row>
    <row r="313" spans="3:14" ht="14.25" customHeight="1">
      <c r="K313" s="6"/>
      <c r="N313" s="30"/>
    </row>
    <row r="314" spans="3:14" ht="14.25" customHeight="1">
      <c r="K314" s="6"/>
    </row>
    <row r="315" spans="3:14" ht="14.25" customHeight="1">
      <c r="K315" s="6"/>
    </row>
    <row r="316" spans="3:14" ht="14.25" customHeight="1">
      <c r="K316" s="6"/>
    </row>
    <row r="317" spans="3:14" ht="14.25" customHeight="1">
      <c r="K317" s="6"/>
    </row>
    <row r="318" spans="3:14" ht="14.25" customHeight="1">
      <c r="K318" s="6"/>
    </row>
    <row r="319" spans="3:14" ht="14.25" customHeight="1">
      <c r="K319" s="6"/>
    </row>
    <row r="320" spans="3:14" ht="14.25" customHeight="1">
      <c r="K320" s="6"/>
    </row>
    <row r="321" spans="11:11" ht="14.25" customHeight="1">
      <c r="K321" s="6"/>
    </row>
    <row r="322" spans="11:11" ht="14.25" customHeight="1">
      <c r="K322" s="6"/>
    </row>
    <row r="323" spans="11:11" ht="14.25" customHeight="1">
      <c r="K323" s="6"/>
    </row>
    <row r="324" spans="11:11" ht="14.25" customHeight="1">
      <c r="K324" s="6"/>
    </row>
    <row r="325" spans="11:11" ht="14.25" customHeight="1">
      <c r="K325" s="6"/>
    </row>
    <row r="326" spans="11:11" ht="14.25" customHeight="1">
      <c r="K326" s="6"/>
    </row>
    <row r="327" spans="11:11" ht="14.25" customHeight="1">
      <c r="K327" s="6"/>
    </row>
    <row r="328" spans="11:11" ht="14.25" customHeight="1">
      <c r="K328" s="6"/>
    </row>
    <row r="329" spans="11:11" ht="14.25" customHeight="1">
      <c r="K329" s="6"/>
    </row>
    <row r="330" spans="11:11" ht="14.25" customHeight="1">
      <c r="K330" s="6"/>
    </row>
    <row r="331" spans="11:11" ht="14.25" customHeight="1">
      <c r="K331" s="6"/>
    </row>
    <row r="332" spans="11:11" ht="14.25" customHeight="1">
      <c r="K332" s="6"/>
    </row>
    <row r="333" spans="11:11" ht="14.25" customHeight="1">
      <c r="K333" s="6"/>
    </row>
    <row r="334" spans="11:11" ht="14.25" customHeight="1">
      <c r="K334" s="6"/>
    </row>
    <row r="335" spans="11:11" ht="14.25" customHeight="1">
      <c r="K335" s="6"/>
    </row>
    <row r="336" spans="11:11" ht="14.25" customHeight="1">
      <c r="K336" s="6"/>
    </row>
    <row r="337" spans="11:11" ht="14.25" customHeight="1">
      <c r="K337" s="6"/>
    </row>
    <row r="338" spans="11:11" ht="14.25" customHeight="1">
      <c r="K338" s="6"/>
    </row>
    <row r="339" spans="11:11" ht="14.25" customHeight="1">
      <c r="K339" s="6"/>
    </row>
    <row r="340" spans="11:11" ht="14.25" customHeight="1">
      <c r="K340" s="6"/>
    </row>
    <row r="341" spans="11:11" ht="14.25" customHeight="1">
      <c r="K341" s="6"/>
    </row>
    <row r="342" spans="11:11" ht="14.25" customHeight="1">
      <c r="K342" s="6"/>
    </row>
    <row r="343" spans="11:11" ht="14.25" customHeight="1">
      <c r="K343" s="6"/>
    </row>
    <row r="344" spans="11:11" ht="14.25" customHeight="1">
      <c r="K344" s="6"/>
    </row>
    <row r="345" spans="11:11" ht="14.25" customHeight="1">
      <c r="K345" s="6"/>
    </row>
    <row r="346" spans="11:11" ht="14.25" customHeight="1">
      <c r="K346" s="6"/>
    </row>
    <row r="347" spans="11:11" ht="14.25" customHeight="1">
      <c r="K347" s="6"/>
    </row>
    <row r="348" spans="11:11" ht="14.25" customHeight="1">
      <c r="K348" s="6"/>
    </row>
    <row r="349" spans="11:11" ht="14.25" customHeight="1">
      <c r="K349" s="6"/>
    </row>
    <row r="350" spans="11:11" ht="14.25" customHeight="1">
      <c r="K350" s="6"/>
    </row>
    <row r="351" spans="11:11" ht="14.25" customHeight="1">
      <c r="K351" s="6"/>
    </row>
    <row r="352" spans="11:11" ht="14.25" customHeight="1">
      <c r="K352" s="6"/>
    </row>
    <row r="353" spans="11:11" ht="14.25" customHeight="1">
      <c r="K353" s="6"/>
    </row>
    <row r="354" spans="11:11" ht="14.25" customHeight="1">
      <c r="K354" s="6"/>
    </row>
    <row r="355" spans="11:11" ht="14.25" customHeight="1">
      <c r="K355" s="6"/>
    </row>
    <row r="356" spans="11:11" ht="14.25" customHeight="1">
      <c r="K356" s="6"/>
    </row>
    <row r="357" spans="11:11" ht="14.25" customHeight="1">
      <c r="K357" s="6"/>
    </row>
    <row r="358" spans="11:11" ht="14.25" customHeight="1">
      <c r="K358" s="6"/>
    </row>
    <row r="359" spans="11:11" ht="14.25" customHeight="1">
      <c r="K359" s="6"/>
    </row>
    <row r="360" spans="11:11" ht="14.25" customHeight="1">
      <c r="K360" s="6"/>
    </row>
    <row r="361" spans="11:11" ht="14.25" customHeight="1">
      <c r="K361" s="6"/>
    </row>
    <row r="362" spans="11:11" ht="14.25" customHeight="1">
      <c r="K362" s="6"/>
    </row>
    <row r="363" spans="11:11" ht="14.25" customHeight="1">
      <c r="K363" s="6"/>
    </row>
    <row r="364" spans="11:11" ht="14.25" customHeight="1">
      <c r="K364" s="6"/>
    </row>
    <row r="365" spans="11:11" ht="14.25" customHeight="1">
      <c r="K365" s="6"/>
    </row>
    <row r="366" spans="11:11" ht="14.25" customHeight="1">
      <c r="K366" s="6"/>
    </row>
    <row r="367" spans="11:11" ht="14.25" customHeight="1">
      <c r="K367" s="6"/>
    </row>
    <row r="368" spans="11:11" ht="14.25" customHeight="1">
      <c r="K368" s="6"/>
    </row>
    <row r="369" spans="11:11" ht="14.25" customHeight="1">
      <c r="K369" s="6"/>
    </row>
    <row r="370" spans="11:11" ht="14.25" customHeight="1">
      <c r="K370" s="6"/>
    </row>
    <row r="371" spans="11:11" ht="14.25" customHeight="1">
      <c r="K371" s="6"/>
    </row>
    <row r="372" spans="11:11" ht="14.25" customHeight="1">
      <c r="K372" s="6"/>
    </row>
    <row r="373" spans="11:11" ht="14.25" customHeight="1">
      <c r="K373" s="6"/>
    </row>
    <row r="374" spans="11:11" ht="14.25" customHeight="1">
      <c r="K374" s="6"/>
    </row>
    <row r="375" spans="11:11" ht="14.25" customHeight="1">
      <c r="K375" s="6"/>
    </row>
    <row r="376" spans="11:11" ht="14.25" customHeight="1">
      <c r="K376" s="6"/>
    </row>
    <row r="377" spans="11:11" ht="14.25" customHeight="1">
      <c r="K377" s="6"/>
    </row>
    <row r="378" spans="11:11" ht="14.25" customHeight="1">
      <c r="K378" s="6"/>
    </row>
    <row r="379" spans="11:11" ht="14.25" customHeight="1">
      <c r="K379" s="6"/>
    </row>
    <row r="380" spans="11:11" ht="14.25" customHeight="1">
      <c r="K380" s="6"/>
    </row>
    <row r="381" spans="11:11" ht="14.25" customHeight="1">
      <c r="K381" s="6"/>
    </row>
    <row r="382" spans="11:11" ht="14.25" customHeight="1">
      <c r="K382" s="6"/>
    </row>
    <row r="383" spans="11:11" ht="14.25" customHeight="1">
      <c r="K383" s="6"/>
    </row>
    <row r="384" spans="11:11" ht="14.25" customHeight="1">
      <c r="K384" s="6"/>
    </row>
    <row r="385" spans="11:11" ht="14.25" customHeight="1">
      <c r="K385" s="6"/>
    </row>
    <row r="386" spans="11:11" ht="14.25" customHeight="1">
      <c r="K386" s="6"/>
    </row>
    <row r="387" spans="11:11" ht="14.25" customHeight="1">
      <c r="K387" s="6"/>
    </row>
    <row r="388" spans="11:11" ht="14.25" customHeight="1">
      <c r="K388" s="6"/>
    </row>
    <row r="389" spans="11:11" ht="14.25" customHeight="1">
      <c r="K389" s="6"/>
    </row>
    <row r="390" spans="11:11" ht="14.25" customHeight="1">
      <c r="K390" s="6"/>
    </row>
    <row r="391" spans="11:11" ht="14.25" customHeight="1">
      <c r="K391" s="6"/>
    </row>
    <row r="392" spans="11:11" ht="14.25" customHeight="1">
      <c r="K392" s="6"/>
    </row>
    <row r="393" spans="11:11" ht="14.25" customHeight="1">
      <c r="K393" s="6"/>
    </row>
    <row r="394" spans="11:11" ht="14.25" customHeight="1">
      <c r="K394" s="6"/>
    </row>
    <row r="395" spans="11:11" ht="14.25" customHeight="1">
      <c r="K395" s="6"/>
    </row>
    <row r="396" spans="11:11" ht="14.25" customHeight="1">
      <c r="K396" s="6"/>
    </row>
    <row r="397" spans="11:11" ht="14.25" customHeight="1">
      <c r="K397" s="6"/>
    </row>
    <row r="398" spans="11:11" ht="14.25" customHeight="1">
      <c r="K398" s="6"/>
    </row>
    <row r="399" spans="11:11" ht="14.25" customHeight="1">
      <c r="K399" s="6"/>
    </row>
    <row r="400" spans="11:11" ht="14.25" customHeight="1">
      <c r="K400" s="6"/>
    </row>
    <row r="401" spans="11:11" ht="14.25" customHeight="1">
      <c r="K401" s="6"/>
    </row>
    <row r="402" spans="11:11" ht="14.25" customHeight="1">
      <c r="K402" s="6"/>
    </row>
    <row r="403" spans="11:11" ht="14.25" customHeight="1">
      <c r="K403" s="6"/>
    </row>
    <row r="404" spans="11:11" ht="14.25" customHeight="1">
      <c r="K404" s="6"/>
    </row>
    <row r="405" spans="11:11" ht="14.25" customHeight="1">
      <c r="K405" s="6"/>
    </row>
    <row r="406" spans="11:11" ht="14.25" customHeight="1">
      <c r="K406" s="6"/>
    </row>
    <row r="407" spans="11:11" ht="14.25" customHeight="1">
      <c r="K407" s="6"/>
    </row>
    <row r="408" spans="11:11" ht="14.25" customHeight="1">
      <c r="K408" s="6"/>
    </row>
    <row r="409" spans="11:11" ht="14.25" customHeight="1">
      <c r="K409" s="6"/>
    </row>
    <row r="410" spans="11:11" ht="14.25" customHeight="1">
      <c r="K410" s="6"/>
    </row>
    <row r="411" spans="11:11" ht="14.25" customHeight="1">
      <c r="K411" s="6"/>
    </row>
    <row r="412" spans="11:11" ht="14.25" customHeight="1">
      <c r="K412" s="6"/>
    </row>
    <row r="413" spans="11:11" ht="14.25" customHeight="1">
      <c r="K413" s="6"/>
    </row>
    <row r="414" spans="11:11" ht="14.25" customHeight="1">
      <c r="K414" s="6"/>
    </row>
    <row r="415" spans="11:11" ht="14.25" customHeight="1">
      <c r="K415" s="6"/>
    </row>
    <row r="416" spans="11:11" ht="14.25" customHeight="1">
      <c r="K416" s="6"/>
    </row>
    <row r="417" spans="11:11" ht="14.25" customHeight="1">
      <c r="K417" s="6"/>
    </row>
    <row r="418" spans="11:11" ht="14.25" customHeight="1">
      <c r="K418" s="6"/>
    </row>
    <row r="419" spans="11:11" ht="14.25" customHeight="1">
      <c r="K419" s="6"/>
    </row>
    <row r="420" spans="11:11" ht="14.25" customHeight="1">
      <c r="K420" s="6"/>
    </row>
    <row r="421" spans="11:11" ht="14.25" customHeight="1">
      <c r="K421" s="6"/>
    </row>
    <row r="422" spans="11:11" ht="14.25" customHeight="1">
      <c r="K422" s="6"/>
    </row>
    <row r="423" spans="11:11" ht="14.25" customHeight="1">
      <c r="K423" s="6"/>
    </row>
    <row r="424" spans="11:11" ht="14.25" customHeight="1">
      <c r="K424" s="6"/>
    </row>
    <row r="425" spans="11:11" ht="14.25" customHeight="1">
      <c r="K425" s="6"/>
    </row>
    <row r="426" spans="11:11" ht="14.25" customHeight="1">
      <c r="K426" s="6"/>
    </row>
    <row r="427" spans="11:11" ht="14.25" customHeight="1">
      <c r="K427" s="6"/>
    </row>
    <row r="428" spans="11:11" ht="14.25" customHeight="1">
      <c r="K428" s="6"/>
    </row>
    <row r="429" spans="11:11" ht="14.25" customHeight="1">
      <c r="K429" s="6"/>
    </row>
    <row r="430" spans="11:11" ht="14.25" customHeight="1">
      <c r="K430" s="6"/>
    </row>
    <row r="431" spans="11:11" ht="14.25" customHeight="1">
      <c r="K431" s="6"/>
    </row>
    <row r="432" spans="11:11" ht="14.25" customHeight="1">
      <c r="K432" s="6"/>
    </row>
    <row r="433" spans="11:11" ht="14.25" customHeight="1">
      <c r="K433" s="6"/>
    </row>
    <row r="434" spans="11:11" ht="14.25" customHeight="1">
      <c r="K434" s="6"/>
    </row>
    <row r="435" spans="11:11" ht="14.25" customHeight="1">
      <c r="K435" s="6"/>
    </row>
    <row r="436" spans="11:11" ht="14.25" customHeight="1">
      <c r="K436" s="6"/>
    </row>
    <row r="437" spans="11:11" ht="14.25" customHeight="1">
      <c r="K437" s="6"/>
    </row>
    <row r="438" spans="11:11" ht="14.25" customHeight="1">
      <c r="K438" s="6"/>
    </row>
    <row r="439" spans="11:11" ht="14.25" customHeight="1">
      <c r="K439" s="6"/>
    </row>
    <row r="440" spans="11:11" ht="14.25" customHeight="1">
      <c r="K440" s="6"/>
    </row>
    <row r="441" spans="11:11" ht="14.25" customHeight="1">
      <c r="K441" s="6"/>
    </row>
    <row r="442" spans="11:11" ht="14.25" customHeight="1">
      <c r="K442" s="6"/>
    </row>
    <row r="443" spans="11:11" ht="14.25" customHeight="1">
      <c r="K443" s="6"/>
    </row>
    <row r="444" spans="11:11" ht="14.25" customHeight="1">
      <c r="K444" s="6"/>
    </row>
    <row r="445" spans="11:11" ht="14.25" customHeight="1">
      <c r="K445" s="6"/>
    </row>
    <row r="446" spans="11:11" ht="14.25" customHeight="1">
      <c r="K446" s="6"/>
    </row>
    <row r="447" spans="11:11" ht="14.25" customHeight="1">
      <c r="K447" s="6"/>
    </row>
    <row r="448" spans="11:11" ht="14.25" customHeight="1">
      <c r="K448" s="6"/>
    </row>
    <row r="449" spans="11:11" ht="14.25" customHeight="1">
      <c r="K449" s="6"/>
    </row>
    <row r="450" spans="11:11" ht="14.25" customHeight="1">
      <c r="K450" s="6"/>
    </row>
    <row r="451" spans="11:11" ht="14.25" customHeight="1">
      <c r="K451" s="6"/>
    </row>
    <row r="452" spans="11:11" ht="14.25" customHeight="1">
      <c r="K452" s="6"/>
    </row>
    <row r="453" spans="11:11" ht="14.25" customHeight="1">
      <c r="K453" s="6"/>
    </row>
    <row r="454" spans="11:11" ht="14.25" customHeight="1">
      <c r="K454" s="6"/>
    </row>
    <row r="455" spans="11:11" ht="14.25" customHeight="1">
      <c r="K455" s="6"/>
    </row>
    <row r="456" spans="11:11" ht="14.25" customHeight="1">
      <c r="K456" s="6"/>
    </row>
    <row r="457" spans="11:11" ht="14.25" customHeight="1">
      <c r="K457" s="6"/>
    </row>
    <row r="458" spans="11:11" ht="14.25" customHeight="1">
      <c r="K458" s="6"/>
    </row>
    <row r="459" spans="11:11" ht="14.25" customHeight="1">
      <c r="K459" s="6"/>
    </row>
    <row r="460" spans="11:11" ht="14.25" customHeight="1">
      <c r="K460" s="6"/>
    </row>
    <row r="461" spans="11:11" ht="14.25" customHeight="1">
      <c r="K461" s="6"/>
    </row>
    <row r="462" spans="11:11" ht="14.25" customHeight="1">
      <c r="K462" s="6"/>
    </row>
    <row r="463" spans="11:11" ht="14.25" customHeight="1">
      <c r="K463" s="6"/>
    </row>
    <row r="464" spans="11:11" ht="14.25" customHeight="1">
      <c r="K464" s="6"/>
    </row>
    <row r="465" spans="11:11" ht="14.25" customHeight="1">
      <c r="K465" s="6"/>
    </row>
    <row r="466" spans="11:11" ht="14.25" customHeight="1">
      <c r="K466" s="6"/>
    </row>
    <row r="467" spans="11:11" ht="14.25" customHeight="1">
      <c r="K467" s="6"/>
    </row>
    <row r="468" spans="11:11" ht="14.25" customHeight="1">
      <c r="K468" s="6"/>
    </row>
    <row r="469" spans="11:11" ht="14.25" customHeight="1">
      <c r="K469" s="6"/>
    </row>
    <row r="470" spans="11:11" ht="14.25" customHeight="1">
      <c r="K470" s="6"/>
    </row>
    <row r="471" spans="11:11" ht="14.25" customHeight="1">
      <c r="K471" s="6"/>
    </row>
    <row r="472" spans="11:11" ht="14.25" customHeight="1">
      <c r="K472" s="6"/>
    </row>
    <row r="473" spans="11:11" ht="14.25" customHeight="1">
      <c r="K473" s="6"/>
    </row>
    <row r="474" spans="11:11" ht="14.25" customHeight="1">
      <c r="K474" s="6"/>
    </row>
    <row r="475" spans="11:11" ht="14.25" customHeight="1">
      <c r="K475" s="6"/>
    </row>
    <row r="476" spans="11:11" ht="14.25" customHeight="1">
      <c r="K476" s="6"/>
    </row>
    <row r="477" spans="11:11" ht="14.25" customHeight="1">
      <c r="K477" s="6"/>
    </row>
    <row r="478" spans="11:11" ht="14.25" customHeight="1">
      <c r="K478" s="6"/>
    </row>
    <row r="479" spans="11:11" ht="14.25" customHeight="1">
      <c r="K479" s="6"/>
    </row>
    <row r="480" spans="11:11" ht="14.25" customHeight="1">
      <c r="K480" s="6"/>
    </row>
    <row r="481" spans="11:11" ht="14.25" customHeight="1">
      <c r="K481" s="6"/>
    </row>
    <row r="482" spans="11:11" ht="14.25" customHeight="1">
      <c r="K482" s="6"/>
    </row>
    <row r="483" spans="11:11" ht="14.25" customHeight="1">
      <c r="K483" s="6"/>
    </row>
    <row r="484" spans="11:11" ht="14.25" customHeight="1">
      <c r="K484" s="6"/>
    </row>
    <row r="485" spans="11:11" ht="14.25" customHeight="1">
      <c r="K485" s="6"/>
    </row>
    <row r="486" spans="11:11" ht="14.25" customHeight="1">
      <c r="K486" s="6"/>
    </row>
    <row r="487" spans="11:11" ht="14.25" customHeight="1">
      <c r="K487" s="6"/>
    </row>
    <row r="488" spans="11:11" ht="14.25" customHeight="1">
      <c r="K488" s="6"/>
    </row>
    <row r="489" spans="11:11" ht="14.25" customHeight="1">
      <c r="K489" s="6"/>
    </row>
    <row r="490" spans="11:11" ht="14.25" customHeight="1">
      <c r="K490" s="6"/>
    </row>
    <row r="491" spans="11:11" ht="14.25" customHeight="1">
      <c r="K491" s="6"/>
    </row>
    <row r="492" spans="11:11" ht="14.25" customHeight="1">
      <c r="K492" s="6"/>
    </row>
    <row r="493" spans="11:11" ht="14.25" customHeight="1">
      <c r="K493" s="6"/>
    </row>
    <row r="494" spans="11:11" ht="14.25" customHeight="1">
      <c r="K494" s="6"/>
    </row>
    <row r="495" spans="11:11" ht="14.25" customHeight="1">
      <c r="K495" s="6"/>
    </row>
    <row r="496" spans="11:11" ht="14.25" customHeight="1">
      <c r="K496" s="6"/>
    </row>
    <row r="497" spans="11:11" ht="14.25" customHeight="1">
      <c r="K497" s="6"/>
    </row>
    <row r="498" spans="11:11" ht="14.25" customHeight="1">
      <c r="K498" s="6"/>
    </row>
    <row r="499" spans="11:11" ht="14.25" customHeight="1">
      <c r="K499" s="6"/>
    </row>
    <row r="500" spans="11:11" ht="14.25" customHeight="1">
      <c r="K500" s="6"/>
    </row>
    <row r="501" spans="11:11" ht="14.25" customHeight="1">
      <c r="K501" s="6"/>
    </row>
    <row r="502" spans="11:11" ht="14.25" customHeight="1"/>
    <row r="503" spans="11:11" ht="14.25" customHeight="1"/>
    <row r="504" spans="11:11" ht="14.25" customHeight="1"/>
    <row r="505" spans="11:11" ht="14.25" customHeight="1"/>
    <row r="506" spans="11:11" ht="14.25" customHeight="1"/>
    <row r="507" spans="11:11" ht="14.25" customHeight="1"/>
    <row r="508" spans="11:11" ht="14.25" customHeight="1"/>
    <row r="509" spans="11:11" ht="14.25" customHeight="1"/>
    <row r="510" spans="11:11" ht="14.25" customHeight="1"/>
    <row r="511" spans="11:11" ht="14.25" customHeight="1"/>
    <row r="512" spans="11:11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A301" xr:uid="{00000000-0009-0000-0000-000000000000}">
    <sortState xmlns:xlrd2="http://schemas.microsoft.com/office/spreadsheetml/2017/richdata2" ref="A2:AA301">
      <sortCondition descending="1" ref="N1:N301"/>
    </sortState>
  </autoFilter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A0-C0E5-4342-A808-CBCC5B33DE4D}">
  <dimension ref="A2:E41"/>
  <sheetViews>
    <sheetView topLeftCell="A26" workbookViewId="0">
      <selection activeCell="A3" sqref="A3"/>
    </sheetView>
  </sheetViews>
  <sheetFormatPr defaultRowHeight="15"/>
  <cols>
    <col min="1" max="1" width="33.28515625" bestFit="1" customWidth="1"/>
    <col min="2" max="2" width="15.85546875" bestFit="1" customWidth="1"/>
    <col min="3" max="3" width="12.5703125" bestFit="1" customWidth="1"/>
    <col min="4" max="4" width="33.28515625" bestFit="1" customWidth="1"/>
    <col min="5" max="5" width="22" bestFit="1" customWidth="1"/>
    <col min="6" max="6" width="18.5703125" bestFit="1" customWidth="1"/>
    <col min="7" max="7" width="17.140625" customWidth="1"/>
    <col min="8" max="12" width="17.140625" bestFit="1" customWidth="1"/>
  </cols>
  <sheetData>
    <row r="2" spans="1:5">
      <c r="A2" s="39" t="s">
        <v>564</v>
      </c>
      <c r="B2" s="39"/>
      <c r="C2" s="39"/>
      <c r="D2" s="39"/>
      <c r="E2" s="39"/>
    </row>
    <row r="3" spans="1:5">
      <c r="A3" s="19" t="s">
        <v>3</v>
      </c>
      <c r="B3" s="19" t="s">
        <v>1</v>
      </c>
      <c r="C3" t="s">
        <v>565</v>
      </c>
      <c r="D3" t="s">
        <v>566</v>
      </c>
      <c r="E3" t="s">
        <v>567</v>
      </c>
    </row>
    <row r="4" spans="1:5">
      <c r="A4" t="s">
        <v>16</v>
      </c>
      <c r="B4" t="s">
        <v>44</v>
      </c>
      <c r="C4" s="14">
        <v>278757</v>
      </c>
      <c r="D4" s="14">
        <v>16508</v>
      </c>
      <c r="E4" s="14">
        <v>13676</v>
      </c>
    </row>
    <row r="5" spans="1:5">
      <c r="B5" t="s">
        <v>14</v>
      </c>
      <c r="C5" s="14">
        <v>246297</v>
      </c>
      <c r="D5" s="14">
        <v>18856</v>
      </c>
      <c r="E5" s="14">
        <v>12611</v>
      </c>
    </row>
    <row r="6" spans="1:5">
      <c r="B6" t="s">
        <v>62</v>
      </c>
      <c r="C6" s="14">
        <v>394886</v>
      </c>
      <c r="D6" s="14">
        <v>21298</v>
      </c>
      <c r="E6" s="14">
        <v>14381</v>
      </c>
    </row>
    <row r="7" spans="1:5">
      <c r="B7" t="s">
        <v>20</v>
      </c>
      <c r="C7" s="14">
        <v>279732</v>
      </c>
      <c r="D7" s="14">
        <v>24668</v>
      </c>
      <c r="E7" s="14">
        <v>13714</v>
      </c>
    </row>
    <row r="8" spans="1:5">
      <c r="A8" t="s">
        <v>568</v>
      </c>
      <c r="C8" s="14">
        <v>1199672</v>
      </c>
      <c r="D8" s="14">
        <v>81330</v>
      </c>
      <c r="E8" s="14">
        <v>54382</v>
      </c>
    </row>
    <row r="9" spans="1:5">
      <c r="A9" t="s">
        <v>31</v>
      </c>
      <c r="B9" t="s">
        <v>44</v>
      </c>
      <c r="C9" s="14">
        <v>218031</v>
      </c>
      <c r="D9" s="14">
        <v>18753</v>
      </c>
      <c r="E9" s="14">
        <v>10389</v>
      </c>
    </row>
    <row r="10" spans="1:5">
      <c r="B10" t="s">
        <v>14</v>
      </c>
      <c r="C10" s="14">
        <v>329722</v>
      </c>
      <c r="D10" s="14">
        <v>19905</v>
      </c>
      <c r="E10" s="14">
        <v>14305</v>
      </c>
    </row>
    <row r="11" spans="1:5">
      <c r="B11" t="s">
        <v>62</v>
      </c>
      <c r="C11" s="14">
        <v>148676</v>
      </c>
      <c r="D11" s="14">
        <v>7832</v>
      </c>
      <c r="E11" s="14">
        <v>6092</v>
      </c>
    </row>
    <row r="12" spans="1:5">
      <c r="B12" t="s">
        <v>20</v>
      </c>
      <c r="C12" s="14">
        <v>195079</v>
      </c>
      <c r="D12" s="14">
        <v>10604</v>
      </c>
      <c r="E12" s="14">
        <v>8277</v>
      </c>
    </row>
    <row r="13" spans="1:5">
      <c r="A13" t="s">
        <v>569</v>
      </c>
      <c r="C13" s="14">
        <v>891508</v>
      </c>
      <c r="D13" s="14">
        <v>57094</v>
      </c>
      <c r="E13" s="14">
        <v>39063</v>
      </c>
    </row>
    <row r="14" spans="1:5">
      <c r="A14" t="s">
        <v>35</v>
      </c>
      <c r="B14" t="s">
        <v>44</v>
      </c>
      <c r="C14" s="14">
        <v>206053</v>
      </c>
      <c r="D14" s="14">
        <v>14750</v>
      </c>
      <c r="E14" s="14">
        <v>9295</v>
      </c>
    </row>
    <row r="15" spans="1:5">
      <c r="B15" t="s">
        <v>14</v>
      </c>
      <c r="C15" s="14">
        <v>279588</v>
      </c>
      <c r="D15" s="14">
        <v>17963</v>
      </c>
      <c r="E15" s="14">
        <v>11014</v>
      </c>
    </row>
    <row r="16" spans="1:5">
      <c r="B16" t="s">
        <v>62</v>
      </c>
      <c r="C16" s="14">
        <v>249305</v>
      </c>
      <c r="D16" s="14">
        <v>15862</v>
      </c>
      <c r="E16" s="14">
        <v>9160</v>
      </c>
    </row>
    <row r="17" spans="1:5">
      <c r="B17" t="s">
        <v>20</v>
      </c>
      <c r="C17" s="14">
        <v>187129</v>
      </c>
      <c r="D17" s="14">
        <v>14136</v>
      </c>
      <c r="E17" s="14">
        <v>8101</v>
      </c>
    </row>
    <row r="18" spans="1:5">
      <c r="A18" t="s">
        <v>570</v>
      </c>
      <c r="C18" s="14">
        <v>922075</v>
      </c>
      <c r="D18" s="14">
        <v>62711</v>
      </c>
      <c r="E18" s="14">
        <v>37570</v>
      </c>
    </row>
    <row r="19" spans="1:5">
      <c r="A19" t="s">
        <v>22</v>
      </c>
      <c r="B19" t="s">
        <v>44</v>
      </c>
      <c r="C19" s="14">
        <v>244355</v>
      </c>
      <c r="D19" s="14">
        <v>13194</v>
      </c>
      <c r="E19" s="14">
        <v>7426</v>
      </c>
    </row>
    <row r="20" spans="1:5">
      <c r="B20" t="s">
        <v>14</v>
      </c>
      <c r="C20" s="14">
        <v>278759</v>
      </c>
      <c r="D20" s="14">
        <v>14236</v>
      </c>
      <c r="E20" s="14">
        <v>11770</v>
      </c>
    </row>
    <row r="21" spans="1:5">
      <c r="B21" t="s">
        <v>62</v>
      </c>
      <c r="C21" s="14">
        <v>244756</v>
      </c>
      <c r="D21" s="14">
        <v>14669</v>
      </c>
      <c r="E21" s="14">
        <v>9640</v>
      </c>
    </row>
    <row r="22" spans="1:5">
      <c r="B22" t="s">
        <v>20</v>
      </c>
      <c r="C22" s="14">
        <v>286318</v>
      </c>
      <c r="D22" s="14">
        <v>18052</v>
      </c>
      <c r="E22" s="14">
        <v>12537</v>
      </c>
    </row>
    <row r="23" spans="1:5">
      <c r="A23" t="s">
        <v>571</v>
      </c>
      <c r="C23" s="14">
        <v>1054188</v>
      </c>
      <c r="D23" s="14">
        <v>60151</v>
      </c>
      <c r="E23" s="14">
        <v>41373</v>
      </c>
    </row>
    <row r="24" spans="1:5">
      <c r="A24" t="s">
        <v>572</v>
      </c>
      <c r="C24" s="14">
        <v>4067443</v>
      </c>
      <c r="D24" s="14">
        <v>261286</v>
      </c>
      <c r="E24" s="14">
        <v>172388</v>
      </c>
    </row>
    <row r="27" spans="1:5">
      <c r="A27" s="38" t="s">
        <v>573</v>
      </c>
      <c r="B27" s="39"/>
      <c r="D27" s="39" t="s">
        <v>574</v>
      </c>
      <c r="E27" s="39"/>
    </row>
    <row r="28" spans="1:5">
      <c r="A28" s="19" t="s">
        <v>4</v>
      </c>
      <c r="B28" t="s">
        <v>575</v>
      </c>
      <c r="D28" s="19" t="s">
        <v>4</v>
      </c>
      <c r="E28" t="s">
        <v>576</v>
      </c>
    </row>
    <row r="29" spans="1:5">
      <c r="A29" t="s">
        <v>60</v>
      </c>
      <c r="B29" s="14">
        <v>1592.72</v>
      </c>
      <c r="D29" t="s">
        <v>88</v>
      </c>
      <c r="E29" s="17">
        <v>0.15329917321810049</v>
      </c>
    </row>
    <row r="30" spans="1:5">
      <c r="A30" t="s">
        <v>23</v>
      </c>
      <c r="B30" s="14">
        <v>1477.2631578947369</v>
      </c>
      <c r="D30" t="s">
        <v>103</v>
      </c>
      <c r="E30" s="17">
        <v>0.14380411271271715</v>
      </c>
    </row>
    <row r="31" spans="1:5">
      <c r="A31" t="s">
        <v>17</v>
      </c>
      <c r="B31" s="14">
        <v>1579.4375</v>
      </c>
      <c r="D31" t="s">
        <v>32</v>
      </c>
      <c r="E31" s="17">
        <v>0.13494947381413458</v>
      </c>
    </row>
    <row r="32" spans="1:5">
      <c r="A32" t="s">
        <v>32</v>
      </c>
      <c r="B32" s="14">
        <v>1463.2941176470588</v>
      </c>
      <c r="D32" t="s">
        <v>17</v>
      </c>
      <c r="E32" s="17">
        <v>0.12600406732043232</v>
      </c>
    </row>
    <row r="33" spans="1:5">
      <c r="A33" t="s">
        <v>46</v>
      </c>
      <c r="B33" s="14">
        <v>1711.5135135135135</v>
      </c>
      <c r="D33" t="s">
        <v>40</v>
      </c>
      <c r="E33" s="17">
        <v>0.12026676773989803</v>
      </c>
    </row>
    <row r="34" spans="1:5">
      <c r="A34" t="s">
        <v>103</v>
      </c>
      <c r="B34" s="14">
        <v>1674.96</v>
      </c>
      <c r="D34" t="s">
        <v>27</v>
      </c>
      <c r="E34" s="17">
        <v>0.12019462245795257</v>
      </c>
    </row>
    <row r="35" spans="1:5">
      <c r="A35" t="s">
        <v>67</v>
      </c>
      <c r="B35" s="14">
        <v>1811.3103448275863</v>
      </c>
      <c r="D35" t="s">
        <v>36</v>
      </c>
      <c r="E35" s="17">
        <v>0.11789410371289014</v>
      </c>
    </row>
    <row r="36" spans="1:5">
      <c r="A36" t="s">
        <v>40</v>
      </c>
      <c r="B36" s="14">
        <v>1706.76</v>
      </c>
      <c r="D36" t="s">
        <v>67</v>
      </c>
      <c r="E36" s="17">
        <v>0.11456579865607174</v>
      </c>
    </row>
    <row r="37" spans="1:5">
      <c r="A37" t="s">
        <v>36</v>
      </c>
      <c r="B37" s="14">
        <v>1680.3571428571429</v>
      </c>
      <c r="D37" t="s">
        <v>46</v>
      </c>
      <c r="E37" s="17">
        <v>0.11399721676928386</v>
      </c>
    </row>
    <row r="38" spans="1:5">
      <c r="A38" t="s">
        <v>51</v>
      </c>
      <c r="B38" s="14">
        <v>1289.4117647058824</v>
      </c>
      <c r="D38" t="s">
        <v>23</v>
      </c>
      <c r="E38" s="17">
        <v>0.11195695112108224</v>
      </c>
    </row>
    <row r="39" spans="1:5">
      <c r="A39" t="s">
        <v>88</v>
      </c>
      <c r="B39" s="14">
        <v>1592.9375</v>
      </c>
      <c r="D39" t="s">
        <v>60</v>
      </c>
      <c r="E39" s="17">
        <v>0.11135741315150899</v>
      </c>
    </row>
    <row r="40" spans="1:5">
      <c r="A40" t="s">
        <v>27</v>
      </c>
      <c r="B40" s="14">
        <v>1459.3076923076924</v>
      </c>
      <c r="D40" t="s">
        <v>51</v>
      </c>
      <c r="E40" s="17">
        <v>0.10955527128571872</v>
      </c>
    </row>
    <row r="41" spans="1:5">
      <c r="A41" t="s">
        <v>572</v>
      </c>
      <c r="B41" s="14">
        <v>1606.6833333333334</v>
      </c>
      <c r="D41" t="s">
        <v>572</v>
      </c>
      <c r="E41" s="17">
        <v>0.12284132745362931</v>
      </c>
    </row>
  </sheetData>
  <mergeCells count="3">
    <mergeCell ref="A27:B27"/>
    <mergeCell ref="D27:E27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9FA2-3588-4170-9971-E03E0C13DFFF}">
  <dimension ref="A2:F17"/>
  <sheetViews>
    <sheetView workbookViewId="0">
      <selection activeCell="H8" sqref="H8"/>
    </sheetView>
  </sheetViews>
  <sheetFormatPr defaultRowHeight="15"/>
  <cols>
    <col min="1" max="1" width="11.85546875" bestFit="1" customWidth="1"/>
    <col min="2" max="3" width="23.85546875" bestFit="1" customWidth="1"/>
    <col min="5" max="5" width="11.85546875" bestFit="1" customWidth="1"/>
    <col min="6" max="6" width="28.28515625" bestFit="1" customWidth="1"/>
  </cols>
  <sheetData>
    <row r="2" spans="1:6">
      <c r="A2" s="39" t="s">
        <v>577</v>
      </c>
      <c r="B2" s="39"/>
      <c r="C2" s="39"/>
      <c r="E2" s="39" t="s">
        <v>578</v>
      </c>
      <c r="F2" s="39"/>
    </row>
    <row r="3" spans="1:6">
      <c r="A3" s="19" t="s">
        <v>1</v>
      </c>
      <c r="B3" t="s">
        <v>579</v>
      </c>
      <c r="C3" t="s">
        <v>580</v>
      </c>
      <c r="E3" s="19" t="s">
        <v>1</v>
      </c>
      <c r="F3" t="s">
        <v>581</v>
      </c>
    </row>
    <row r="4" spans="1:6">
      <c r="A4" t="s">
        <v>14</v>
      </c>
      <c r="B4" s="34">
        <v>1990523</v>
      </c>
      <c r="C4" s="22">
        <v>773.73990786400122</v>
      </c>
      <c r="E4" t="s">
        <v>62</v>
      </c>
      <c r="F4" s="20">
        <v>74.906061767286715</v>
      </c>
    </row>
    <row r="5" spans="1:6">
      <c r="A5" t="s">
        <v>62</v>
      </c>
      <c r="B5" s="34">
        <v>1874083</v>
      </c>
      <c r="C5" s="22">
        <v>926.46719530699636</v>
      </c>
      <c r="E5" t="s">
        <v>44</v>
      </c>
      <c r="F5" s="20">
        <v>62.742360790699841</v>
      </c>
    </row>
    <row r="6" spans="1:6">
      <c r="A6" t="s">
        <v>44</v>
      </c>
      <c r="B6" s="34">
        <v>1775883</v>
      </c>
      <c r="C6" s="22">
        <v>793.52388174319526</v>
      </c>
      <c r="E6" t="s">
        <v>20</v>
      </c>
      <c r="F6" s="20">
        <v>60.067581792253492</v>
      </c>
    </row>
    <row r="7" spans="1:6">
      <c r="A7" t="s">
        <v>20</v>
      </c>
      <c r="B7" s="34">
        <v>1286371</v>
      </c>
      <c r="C7" s="22">
        <v>721.569779481468</v>
      </c>
      <c r="E7" t="s">
        <v>14</v>
      </c>
      <c r="F7" s="20">
        <v>52.703957466757096</v>
      </c>
    </row>
    <row r="8" spans="1:6">
      <c r="A8" t="s">
        <v>572</v>
      </c>
      <c r="B8" s="34">
        <v>6926860</v>
      </c>
      <c r="C8" s="22">
        <v>3215.3007643956607</v>
      </c>
      <c r="E8" t="s">
        <v>572</v>
      </c>
      <c r="F8" s="20">
        <v>250.41996181699713</v>
      </c>
    </row>
    <row r="11" spans="1:6">
      <c r="A11" s="39" t="s">
        <v>582</v>
      </c>
      <c r="B11" s="39"/>
    </row>
    <row r="12" spans="1:6">
      <c r="A12" s="19" t="s">
        <v>1</v>
      </c>
      <c r="B12" t="s">
        <v>580</v>
      </c>
    </row>
    <row r="13" spans="1:6">
      <c r="A13" t="s">
        <v>62</v>
      </c>
      <c r="B13" s="22">
        <v>926.46719530699636</v>
      </c>
    </row>
    <row r="14" spans="1:6">
      <c r="A14" t="s">
        <v>44</v>
      </c>
      <c r="B14" s="22">
        <v>793.52388174319526</v>
      </c>
    </row>
    <row r="15" spans="1:6">
      <c r="A15" t="s">
        <v>14</v>
      </c>
      <c r="B15" s="22">
        <v>773.73990786400122</v>
      </c>
    </row>
    <row r="16" spans="1:6">
      <c r="A16" t="s">
        <v>20</v>
      </c>
      <c r="B16" s="22">
        <v>721.569779481468</v>
      </c>
    </row>
    <row r="17" spans="1:2">
      <c r="A17" t="s">
        <v>572</v>
      </c>
      <c r="B17" s="22">
        <v>3215.3007643956607</v>
      </c>
    </row>
  </sheetData>
  <mergeCells count="3">
    <mergeCell ref="A2:C2"/>
    <mergeCell ref="A11:B11"/>
    <mergeCell ref="E2:F2"/>
  </mergeCell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0325-2763-4DB2-943A-112951DEFDB8}">
  <dimension ref="A2:K25"/>
  <sheetViews>
    <sheetView workbookViewId="0">
      <selection activeCell="A2" sqref="A2:B2"/>
    </sheetView>
  </sheetViews>
  <sheetFormatPr defaultRowHeight="15"/>
  <cols>
    <col min="1" max="1" width="19.140625" bestFit="1" customWidth="1"/>
    <col min="2" max="2" width="15.28515625" bestFit="1" customWidth="1"/>
    <col min="3" max="3" width="16.85546875" bestFit="1" customWidth="1"/>
    <col min="4" max="4" width="20.5703125" bestFit="1" customWidth="1"/>
    <col min="5" max="5" width="19.140625" bestFit="1" customWidth="1"/>
    <col min="6" max="6" width="16.28515625" bestFit="1" customWidth="1"/>
    <col min="7" max="7" width="21.7109375" bestFit="1" customWidth="1"/>
    <col min="8" max="9" width="22" bestFit="1" customWidth="1"/>
    <col min="10" max="10" width="21.7109375" bestFit="1" customWidth="1"/>
    <col min="11" max="11" width="22" bestFit="1" customWidth="1"/>
  </cols>
  <sheetData>
    <row r="2" spans="1:11">
      <c r="A2" s="39" t="s">
        <v>583</v>
      </c>
      <c r="B2" s="39"/>
      <c r="E2" s="39" t="s">
        <v>584</v>
      </c>
      <c r="F2" s="39"/>
      <c r="G2" s="39"/>
      <c r="H2" s="39"/>
      <c r="I2" s="39"/>
      <c r="J2" s="39"/>
      <c r="K2" s="39"/>
    </row>
    <row r="3" spans="1:11">
      <c r="A3" s="19" t="s">
        <v>545</v>
      </c>
      <c r="B3" t="s">
        <v>585</v>
      </c>
      <c r="E3" s="19" t="s">
        <v>545</v>
      </c>
      <c r="F3" t="s">
        <v>586</v>
      </c>
      <c r="G3" t="s">
        <v>587</v>
      </c>
      <c r="H3" t="s">
        <v>588</v>
      </c>
      <c r="I3" t="s">
        <v>575</v>
      </c>
      <c r="J3" t="s">
        <v>589</v>
      </c>
      <c r="K3" t="s">
        <v>576</v>
      </c>
    </row>
    <row r="4" spans="1:11">
      <c r="A4" t="s">
        <v>551</v>
      </c>
      <c r="B4" s="20">
        <v>51</v>
      </c>
      <c r="E4" t="s">
        <v>558</v>
      </c>
      <c r="F4" s="14">
        <v>13327.8</v>
      </c>
      <c r="G4" s="14">
        <v>892.8</v>
      </c>
      <c r="H4" s="14">
        <v>637.55999999999995</v>
      </c>
      <c r="I4" s="14">
        <v>1592.72</v>
      </c>
      <c r="J4" s="14">
        <v>152305.92000000001</v>
      </c>
      <c r="K4" s="17">
        <v>0.11135741315150899</v>
      </c>
    </row>
    <row r="5" spans="1:11">
      <c r="A5" t="s">
        <v>554</v>
      </c>
      <c r="B5" s="20">
        <v>37</v>
      </c>
      <c r="E5" t="s">
        <v>551</v>
      </c>
      <c r="F5" s="14">
        <v>13787.058823529413</v>
      </c>
      <c r="G5" s="14">
        <v>880.9019607843137</v>
      </c>
      <c r="H5" s="14">
        <v>555.70588235294122</v>
      </c>
      <c r="I5" s="14">
        <v>1541.3725490196077</v>
      </c>
      <c r="J5" s="14">
        <v>154679.78431372548</v>
      </c>
      <c r="K5" s="17">
        <v>0.12077082795204692</v>
      </c>
    </row>
    <row r="6" spans="1:11">
      <c r="A6" t="s">
        <v>547</v>
      </c>
      <c r="B6" s="20">
        <v>34</v>
      </c>
      <c r="E6" t="s">
        <v>547</v>
      </c>
      <c r="F6" s="14">
        <v>13437.176470588236</v>
      </c>
      <c r="G6" s="14">
        <v>875.88235294117646</v>
      </c>
      <c r="H6" s="14">
        <v>584.76470588235293</v>
      </c>
      <c r="I6" s="14">
        <v>1463.2941176470588</v>
      </c>
      <c r="J6" s="14">
        <v>142767</v>
      </c>
      <c r="K6" s="17">
        <v>0.13494947381413458</v>
      </c>
    </row>
    <row r="7" spans="1:11">
      <c r="A7" t="s">
        <v>561</v>
      </c>
      <c r="B7" s="20">
        <v>29</v>
      </c>
      <c r="E7" t="s">
        <v>554</v>
      </c>
      <c r="F7" s="14">
        <v>13986.108108108108</v>
      </c>
      <c r="G7" s="14">
        <v>880.54054054054052</v>
      </c>
      <c r="H7" s="14">
        <v>576.91891891891896</v>
      </c>
      <c r="I7" s="14">
        <v>1711.5135135135135</v>
      </c>
      <c r="J7" s="14">
        <v>156354.51351351352</v>
      </c>
      <c r="K7" s="17">
        <v>0.11399721676928386</v>
      </c>
    </row>
    <row r="8" spans="1:11">
      <c r="A8" t="s">
        <v>556</v>
      </c>
      <c r="B8" s="20">
        <v>28</v>
      </c>
      <c r="E8" t="s">
        <v>549</v>
      </c>
      <c r="F8" s="14">
        <v>13057.88</v>
      </c>
      <c r="G8" s="14">
        <v>980.64</v>
      </c>
      <c r="H8" s="14">
        <v>560.12</v>
      </c>
      <c r="I8" s="14">
        <v>1674.96</v>
      </c>
      <c r="J8" s="14">
        <v>126552.08</v>
      </c>
      <c r="K8" s="17">
        <v>0.14380411271271715</v>
      </c>
    </row>
    <row r="9" spans="1:11">
      <c r="A9" t="s">
        <v>560</v>
      </c>
      <c r="B9" s="20">
        <v>25</v>
      </c>
      <c r="E9" t="s">
        <v>561</v>
      </c>
      <c r="F9" s="14">
        <v>15420.51724137931</v>
      </c>
      <c r="G9" s="14">
        <v>803.65517241379314</v>
      </c>
      <c r="H9" s="14">
        <v>541.13793103448279</v>
      </c>
      <c r="I9" s="14">
        <v>1811.3103448275863</v>
      </c>
      <c r="J9" s="14">
        <v>156180.24137931035</v>
      </c>
      <c r="K9" s="17">
        <v>0.11456579865607174</v>
      </c>
    </row>
    <row r="10" spans="1:11">
      <c r="A10" t="s">
        <v>558</v>
      </c>
      <c r="B10" s="20">
        <v>25</v>
      </c>
      <c r="E10" t="s">
        <v>560</v>
      </c>
      <c r="F10" s="14">
        <v>13856.76</v>
      </c>
      <c r="G10" s="14">
        <v>802.2</v>
      </c>
      <c r="H10" s="14">
        <v>562.12</v>
      </c>
      <c r="I10" s="14">
        <v>1706.76</v>
      </c>
      <c r="J10" s="14">
        <v>141537.32</v>
      </c>
      <c r="K10" s="17">
        <v>0.12026676773989803</v>
      </c>
    </row>
    <row r="11" spans="1:11">
      <c r="A11" t="s">
        <v>549</v>
      </c>
      <c r="B11" s="20">
        <v>25</v>
      </c>
      <c r="E11" t="s">
        <v>556</v>
      </c>
      <c r="F11" s="14">
        <v>13015.321428571429</v>
      </c>
      <c r="G11" s="14">
        <v>901.46428571428567</v>
      </c>
      <c r="H11" s="14">
        <v>531.75</v>
      </c>
      <c r="I11" s="14">
        <v>1680.3571428571429</v>
      </c>
      <c r="J11" s="14">
        <v>152129.10714285713</v>
      </c>
      <c r="K11" s="17">
        <v>0.11789410371289014</v>
      </c>
    </row>
    <row r="12" spans="1:11">
      <c r="A12" t="s">
        <v>51</v>
      </c>
      <c r="B12" s="20">
        <v>17</v>
      </c>
      <c r="E12" t="s">
        <v>51</v>
      </c>
      <c r="F12" s="14">
        <v>12777.235294117647</v>
      </c>
      <c r="G12" s="14">
        <v>814.35294117647061</v>
      </c>
      <c r="H12" s="14">
        <v>626.05882352941171</v>
      </c>
      <c r="I12" s="14">
        <v>1289.4117647058824</v>
      </c>
      <c r="J12" s="14">
        <v>168232</v>
      </c>
      <c r="K12" s="17">
        <v>0.10955527128571872</v>
      </c>
    </row>
    <row r="13" spans="1:11">
      <c r="A13" t="s">
        <v>88</v>
      </c>
      <c r="B13" s="20">
        <v>16</v>
      </c>
      <c r="E13" t="s">
        <v>88</v>
      </c>
      <c r="F13" s="14">
        <v>14377.6875</v>
      </c>
      <c r="G13" s="14">
        <v>806.5625</v>
      </c>
      <c r="H13" s="14">
        <v>574.875</v>
      </c>
      <c r="I13" s="14">
        <v>1592.9375</v>
      </c>
      <c r="J13" s="14">
        <v>138762.6875</v>
      </c>
      <c r="K13" s="17">
        <v>0.15329917321810049</v>
      </c>
    </row>
    <row r="14" spans="1:11">
      <c r="A14" t="s">
        <v>562</v>
      </c>
      <c r="B14" s="20">
        <v>13</v>
      </c>
      <c r="E14" t="s">
        <v>562</v>
      </c>
      <c r="F14" s="14">
        <v>9616.3076923076915</v>
      </c>
      <c r="G14" s="14">
        <v>908.69230769230774</v>
      </c>
      <c r="H14" s="14">
        <v>646.23076923076928</v>
      </c>
      <c r="I14" s="14">
        <v>1459.3076923076924</v>
      </c>
      <c r="J14" s="14">
        <v>127317.76923076923</v>
      </c>
      <c r="K14" s="17">
        <v>0.12019462245795257</v>
      </c>
    </row>
    <row r="15" spans="1:11">
      <c r="A15" t="s">
        <v>572</v>
      </c>
      <c r="B15" s="20">
        <v>300</v>
      </c>
      <c r="E15" t="s">
        <v>572</v>
      </c>
      <c r="F15" s="14">
        <v>13558.143333333333</v>
      </c>
      <c r="G15" s="14">
        <v>870.95333333333338</v>
      </c>
      <c r="H15" s="14">
        <v>574.62666666666667</v>
      </c>
      <c r="I15" s="14">
        <v>1606.6833333333334</v>
      </c>
      <c r="J15" s="14">
        <v>148539.55666666667</v>
      </c>
      <c r="K15" s="17">
        <v>0.12284132745362931</v>
      </c>
    </row>
    <row r="19" spans="1:8">
      <c r="A19" s="39" t="s">
        <v>590</v>
      </c>
      <c r="B19" s="39"/>
      <c r="C19" s="39"/>
      <c r="D19" s="39"/>
      <c r="E19" s="39"/>
      <c r="F19" s="39"/>
      <c r="G19" s="39"/>
      <c r="H19" s="39"/>
    </row>
    <row r="20" spans="1:8">
      <c r="A20" s="19" t="s">
        <v>3</v>
      </c>
      <c r="B20" t="s">
        <v>586</v>
      </c>
      <c r="C20" t="s">
        <v>587</v>
      </c>
      <c r="D20" t="s">
        <v>588</v>
      </c>
      <c r="E20" t="s">
        <v>575</v>
      </c>
      <c r="F20" t="s">
        <v>591</v>
      </c>
      <c r="G20" t="s">
        <v>589</v>
      </c>
      <c r="H20" t="s">
        <v>576</v>
      </c>
    </row>
    <row r="21" spans="1:8">
      <c r="A21" t="s">
        <v>16</v>
      </c>
      <c r="B21" s="14">
        <v>13039.91304347826</v>
      </c>
      <c r="C21" s="14">
        <v>884.02173913043475</v>
      </c>
      <c r="D21" s="14">
        <v>591.10869565217388</v>
      </c>
      <c r="E21" s="14">
        <v>1553.5217391304348</v>
      </c>
      <c r="F21" s="14">
        <v>33206.554347826088</v>
      </c>
      <c r="G21" s="14">
        <v>144139.04347826086</v>
      </c>
      <c r="H21" s="30">
        <v>0.12254707352578754</v>
      </c>
    </row>
    <row r="22" spans="1:8">
      <c r="A22" t="s">
        <v>31</v>
      </c>
      <c r="B22" s="14">
        <v>13110.411764705883</v>
      </c>
      <c r="C22" s="14">
        <v>839.61764705882354</v>
      </c>
      <c r="D22" s="14">
        <v>574.45588235294122</v>
      </c>
      <c r="E22" s="14">
        <v>1555.1911764705883</v>
      </c>
      <c r="F22" s="14">
        <v>30738.191176470587</v>
      </c>
      <c r="G22" s="14">
        <v>148482.39705882352</v>
      </c>
      <c r="H22" s="30">
        <v>0.11546428615108938</v>
      </c>
    </row>
    <row r="23" spans="1:8">
      <c r="A23" t="s">
        <v>35</v>
      </c>
      <c r="B23" s="14">
        <v>13363.40579710145</v>
      </c>
      <c r="C23" s="14">
        <v>908.85507246376812</v>
      </c>
      <c r="D23" s="14">
        <v>544.49275362318838</v>
      </c>
      <c r="E23" s="14">
        <v>1778.2028985507247</v>
      </c>
      <c r="F23" s="14">
        <v>27368.666666666668</v>
      </c>
      <c r="G23" s="14">
        <v>154511.08695652173</v>
      </c>
      <c r="H23" s="30">
        <v>0.11357604941562141</v>
      </c>
    </row>
    <row r="24" spans="1:8">
      <c r="A24" t="s">
        <v>22</v>
      </c>
      <c r="B24" s="14">
        <v>14847.718309859154</v>
      </c>
      <c r="C24" s="14">
        <v>847.19718309859149</v>
      </c>
      <c r="D24" s="14">
        <v>582.71830985915494</v>
      </c>
      <c r="E24" s="14">
        <v>1558.1971830985915</v>
      </c>
      <c r="F24" s="14">
        <v>39572.281690140844</v>
      </c>
      <c r="G24" s="14">
        <v>148493.05633802817</v>
      </c>
      <c r="H24" s="30">
        <v>0.13929223385583644</v>
      </c>
    </row>
    <row r="25" spans="1:8">
      <c r="A25" t="s">
        <v>572</v>
      </c>
      <c r="B25" s="14">
        <v>13558.143333333333</v>
      </c>
      <c r="C25" s="14">
        <v>870.95333333333338</v>
      </c>
      <c r="D25" s="14">
        <v>574.62666666666667</v>
      </c>
      <c r="E25" s="14">
        <v>1606.6833333333334</v>
      </c>
      <c r="F25" s="14">
        <v>32810.9</v>
      </c>
      <c r="G25" s="14">
        <v>148539.55666666667</v>
      </c>
      <c r="H25" s="30">
        <v>0.12284132745362931</v>
      </c>
    </row>
  </sheetData>
  <mergeCells count="3">
    <mergeCell ref="A2:B2"/>
    <mergeCell ref="E2:K2"/>
    <mergeCell ref="A19:H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53B2-5659-4B01-9465-4B275B9EDF79}">
  <dimension ref="A2:D18"/>
  <sheetViews>
    <sheetView workbookViewId="0">
      <selection activeCell="I11" sqref="I11"/>
    </sheetView>
  </sheetViews>
  <sheetFormatPr defaultRowHeight="15"/>
  <cols>
    <col min="1" max="1" width="27.5703125" bestFit="1" customWidth="1"/>
    <col min="2" max="2" width="21.7109375" bestFit="1" customWidth="1"/>
    <col min="3" max="3" width="15.28515625" bestFit="1" customWidth="1"/>
    <col min="4" max="4" width="12.5703125" bestFit="1" customWidth="1"/>
    <col min="6" max="6" width="27.5703125" bestFit="1" customWidth="1"/>
  </cols>
  <sheetData>
    <row r="2" spans="1:4" ht="15" customHeight="1">
      <c r="A2" s="39" t="s">
        <v>592</v>
      </c>
      <c r="B2" s="39"/>
      <c r="C2" s="39"/>
      <c r="D2" s="39"/>
    </row>
    <row r="3" spans="1:4">
      <c r="A3" s="19" t="s">
        <v>11</v>
      </c>
      <c r="B3" t="s">
        <v>593</v>
      </c>
      <c r="C3" t="s">
        <v>565</v>
      </c>
      <c r="D3" t="s">
        <v>594</v>
      </c>
    </row>
    <row r="4" spans="1:4">
      <c r="A4" t="s">
        <v>37</v>
      </c>
      <c r="B4" s="14">
        <v>10331022</v>
      </c>
      <c r="C4" s="14">
        <v>957050</v>
      </c>
      <c r="D4" s="14">
        <v>114854</v>
      </c>
    </row>
    <row r="5" spans="1:4">
      <c r="A5" t="s">
        <v>33</v>
      </c>
      <c r="B5" s="14">
        <v>9407749</v>
      </c>
      <c r="C5" s="14">
        <v>888529</v>
      </c>
      <c r="D5" s="14">
        <v>106775</v>
      </c>
    </row>
    <row r="6" spans="1:4">
      <c r="A6" t="s">
        <v>24</v>
      </c>
      <c r="B6" s="14">
        <v>8901334</v>
      </c>
      <c r="C6" s="14">
        <v>843431</v>
      </c>
      <c r="D6" s="14">
        <v>96543</v>
      </c>
    </row>
    <row r="7" spans="1:4">
      <c r="A7" t="s">
        <v>18</v>
      </c>
      <c r="B7" s="14">
        <v>6698763</v>
      </c>
      <c r="C7" s="14">
        <v>585970</v>
      </c>
      <c r="D7" s="14">
        <v>74667</v>
      </c>
    </row>
    <row r="8" spans="1:4">
      <c r="A8" t="s">
        <v>28</v>
      </c>
      <c r="B8" s="14">
        <v>9222999</v>
      </c>
      <c r="C8" s="14">
        <v>792463</v>
      </c>
      <c r="D8" s="14">
        <v>89166</v>
      </c>
    </row>
    <row r="9" spans="1:4">
      <c r="A9" t="s">
        <v>572</v>
      </c>
      <c r="B9" s="14">
        <v>44561867</v>
      </c>
      <c r="C9" s="14">
        <v>4067443</v>
      </c>
      <c r="D9" s="14">
        <v>482005</v>
      </c>
    </row>
    <row r="11" spans="1:4">
      <c r="A11" s="39" t="s">
        <v>595</v>
      </c>
      <c r="B11" s="39"/>
      <c r="C11" s="39"/>
      <c r="D11" s="39"/>
    </row>
    <row r="12" spans="1:4">
      <c r="A12" s="19" t="s">
        <v>11</v>
      </c>
      <c r="B12" t="s">
        <v>589</v>
      </c>
      <c r="C12" t="s">
        <v>586</v>
      </c>
      <c r="D12" t="s">
        <v>594</v>
      </c>
    </row>
    <row r="13" spans="1:4">
      <c r="A13" t="s">
        <v>37</v>
      </c>
      <c r="B13" s="14">
        <v>149724.95652173914</v>
      </c>
      <c r="C13" s="14">
        <v>13870.289855072464</v>
      </c>
      <c r="D13" s="14">
        <v>114854</v>
      </c>
    </row>
    <row r="14" spans="1:4">
      <c r="A14" t="s">
        <v>33</v>
      </c>
      <c r="B14" s="14">
        <v>136344.18840579709</v>
      </c>
      <c r="C14" s="14">
        <v>12877.231884057972</v>
      </c>
      <c r="D14" s="14">
        <v>106775</v>
      </c>
    </row>
    <row r="15" spans="1:4">
      <c r="A15" t="s">
        <v>24</v>
      </c>
      <c r="B15" s="14">
        <v>150870.06779661018</v>
      </c>
      <c r="C15" s="14">
        <v>14295.440677966102</v>
      </c>
      <c r="D15" s="14">
        <v>96543</v>
      </c>
    </row>
    <row r="16" spans="1:4">
      <c r="A16" t="s">
        <v>18</v>
      </c>
      <c r="B16" s="14">
        <v>145625.28260869565</v>
      </c>
      <c r="C16" s="14">
        <v>12738.478260869566</v>
      </c>
      <c r="D16" s="14">
        <v>74667</v>
      </c>
    </row>
    <row r="17" spans="1:4">
      <c r="A17" t="s">
        <v>28</v>
      </c>
      <c r="B17" s="14">
        <v>161807</v>
      </c>
      <c r="C17" s="14">
        <v>13902.859649122807</v>
      </c>
      <c r="D17" s="14">
        <v>89166</v>
      </c>
    </row>
    <row r="18" spans="1:4">
      <c r="A18" t="s">
        <v>572</v>
      </c>
      <c r="B18" s="14">
        <v>148539.55666666667</v>
      </c>
      <c r="C18" s="14">
        <v>13558.143333333333</v>
      </c>
      <c r="D18" s="14">
        <v>482005</v>
      </c>
    </row>
  </sheetData>
  <mergeCells count="2">
    <mergeCell ref="A2:D2"/>
    <mergeCell ref="A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BB72-AF49-4CCF-BE92-E7B83AD89B8D}">
  <dimension ref="A1:AB1000"/>
  <sheetViews>
    <sheetView topLeftCell="E1" workbookViewId="0">
      <selection activeCell="S14" sqref="S14"/>
    </sheetView>
  </sheetViews>
  <sheetFormatPr defaultColWidth="14.42578125" defaultRowHeight="15" customHeight="1"/>
  <cols>
    <col min="1" max="1" width="8.7109375" customWidth="1"/>
    <col min="2" max="2" width="10.85546875" customWidth="1"/>
    <col min="3" max="3" width="11.140625" bestFit="1" customWidth="1"/>
    <col min="4" max="4" width="14.5703125" bestFit="1" customWidth="1"/>
    <col min="5" max="5" width="33.28515625" bestFit="1" customWidth="1"/>
    <col min="6" max="9" width="8.7109375" customWidth="1"/>
    <col min="10" max="10" width="8.5703125" bestFit="1" customWidth="1"/>
    <col min="11" max="11" width="13.85546875" bestFit="1" customWidth="1"/>
    <col min="12" max="12" width="33.42578125" customWidth="1"/>
    <col min="13" max="13" width="13.28515625" bestFit="1" customWidth="1"/>
    <col min="14" max="14" width="8.7109375" customWidth="1"/>
    <col min="15" max="16" width="12.85546875" bestFit="1" customWidth="1"/>
    <col min="17" max="18" width="8.7109375" customWidth="1"/>
    <col min="19" max="19" width="27.5703125" bestFit="1" customWidth="1"/>
    <col min="20" max="20" width="12.7109375" bestFit="1" customWidth="1"/>
    <col min="21" max="21" width="11.7109375" bestFit="1" customWidth="1"/>
    <col min="22" max="26" width="8.7109375" customWidth="1"/>
  </cols>
  <sheetData>
    <row r="1" spans="1:2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1" t="s">
        <v>11</v>
      </c>
      <c r="M1" s="32" t="s">
        <v>12</v>
      </c>
      <c r="N1" s="32" t="s">
        <v>596</v>
      </c>
      <c r="O1" s="32" t="s">
        <v>597</v>
      </c>
      <c r="P1" s="32" t="s">
        <v>598</v>
      </c>
      <c r="Q1" s="33" t="s">
        <v>599</v>
      </c>
      <c r="S1" s="1" t="s">
        <v>530</v>
      </c>
      <c r="T1" s="1" t="s">
        <v>531</v>
      </c>
      <c r="U1" s="1" t="s">
        <v>532</v>
      </c>
    </row>
    <row r="2" spans="1:28" ht="14.25" customHeight="1">
      <c r="A2" s="3" t="s">
        <v>13</v>
      </c>
      <c r="B2" s="3" t="s">
        <v>14</v>
      </c>
      <c r="C2" s="29" t="s">
        <v>15</v>
      </c>
      <c r="D2" s="3" t="s">
        <v>16</v>
      </c>
      <c r="E2" s="3" t="s">
        <v>17</v>
      </c>
      <c r="F2" s="12">
        <v>2302</v>
      </c>
      <c r="G2" s="12">
        <v>347</v>
      </c>
      <c r="H2" s="12">
        <v>642</v>
      </c>
      <c r="I2" s="12">
        <v>2175</v>
      </c>
      <c r="J2" s="13">
        <v>56378</v>
      </c>
      <c r="K2" s="12">
        <v>198056</v>
      </c>
      <c r="L2" s="3" t="s">
        <v>18</v>
      </c>
      <c r="M2" s="30">
        <f>(F2 + G2 + H2 ) / K2</f>
        <v>1.6616512501514722E-2</v>
      </c>
      <c r="N2" t="str">
        <f>IF(AND(C2&gt;=$T$2,C2&lt;=$U$2),"During","Before")</f>
        <v>Before</v>
      </c>
      <c r="O2" s="30">
        <f ca="1">AVERAGEIF($N$2:$N$301,"Before",M2)</f>
        <v>0.12207295270886492</v>
      </c>
      <c r="P2" s="30">
        <f ca="1">AVERAGEIF($N$2:$N$301,"During",M2)</f>
        <v>0.1254628412887078</v>
      </c>
      <c r="Q2" s="30">
        <f ca="1">(P2-O2)/O2</f>
        <v>2.7769366633798989E-2</v>
      </c>
      <c r="S2" s="3" t="s">
        <v>24</v>
      </c>
      <c r="T2" s="7" t="s">
        <v>535</v>
      </c>
      <c r="U2" s="7" t="s">
        <v>259</v>
      </c>
    </row>
    <row r="3" spans="1:28" ht="14.25" customHeight="1">
      <c r="A3" s="3" t="s">
        <v>19</v>
      </c>
      <c r="B3" s="3" t="s">
        <v>20</v>
      </c>
      <c r="C3" s="29" t="s">
        <v>21</v>
      </c>
      <c r="D3" s="3" t="s">
        <v>22</v>
      </c>
      <c r="E3" s="3" t="s">
        <v>23</v>
      </c>
      <c r="F3" s="12">
        <v>3581</v>
      </c>
      <c r="G3" s="12">
        <v>517</v>
      </c>
      <c r="H3" s="12">
        <v>880</v>
      </c>
      <c r="I3" s="12">
        <v>1925</v>
      </c>
      <c r="J3" s="13">
        <v>23275</v>
      </c>
      <c r="K3" s="12">
        <v>248611</v>
      </c>
      <c r="L3" s="3" t="s">
        <v>24</v>
      </c>
      <c r="M3" s="30">
        <f>(F3 + G3 + H3 ) / K3</f>
        <v>2.0023249172401864E-2</v>
      </c>
      <c r="N3" t="str">
        <f>IF(AND(C3&gt;=$T$3,C3&lt;=$U$3),"During","Before")</f>
        <v>Before</v>
      </c>
      <c r="O3" s="30">
        <f ca="1">AVERAGEIF($N$2:$N$301,"Before",M3)</f>
        <v>0.12203812799138405</v>
      </c>
      <c r="P3" s="30">
        <f ca="1">AVERAGEIF($N$2:$N$301,"During",M3)</f>
        <v>0.12713197290555239</v>
      </c>
      <c r="Q3" s="30">
        <f ca="1">(P3-O3)/O3</f>
        <v>4.1739782459855219E-2</v>
      </c>
      <c r="S3" s="3" t="s">
        <v>18</v>
      </c>
      <c r="T3" s="7" t="s">
        <v>537</v>
      </c>
      <c r="U3" s="7" t="s">
        <v>538</v>
      </c>
    </row>
    <row r="4" spans="1:28" ht="14.25" customHeight="1">
      <c r="A4" s="3" t="s">
        <v>25</v>
      </c>
      <c r="B4" s="3" t="s">
        <v>20</v>
      </c>
      <c r="C4" s="29" t="s">
        <v>26</v>
      </c>
      <c r="D4" s="3" t="s">
        <v>16</v>
      </c>
      <c r="E4" s="3" t="s">
        <v>27</v>
      </c>
      <c r="F4" s="12">
        <v>3531</v>
      </c>
      <c r="G4" s="12">
        <v>789</v>
      </c>
      <c r="H4" s="12">
        <v>467</v>
      </c>
      <c r="I4" s="12">
        <v>1867</v>
      </c>
      <c r="J4" s="13">
        <v>40816</v>
      </c>
      <c r="K4" s="12">
        <v>236037</v>
      </c>
      <c r="L4" s="3" t="s">
        <v>28</v>
      </c>
      <c r="M4" s="30">
        <f>(F4 + G4 + H4 ) / K4</f>
        <v>2.0280718700881641E-2</v>
      </c>
      <c r="N4" t="str">
        <f>IF(AND(C4&gt;=$T$4,C4&lt;=$U$4),"During","Before")</f>
        <v>Before</v>
      </c>
      <c r="O4" s="30">
        <f ca="1">AVERAGEIF($N$2:$N$301,"Before",M4)</f>
        <v>0.12197827485999524</v>
      </c>
      <c r="P4" s="30">
        <f ca="1">AVERAGEIF($N$2:$N$301,"During",M4)</f>
        <v>0.12883463612670554</v>
      </c>
      <c r="Q4" s="30">
        <f ca="1">(P4-O4)/O4</f>
        <v>5.6209692050325541E-2</v>
      </c>
      <c r="S4" s="3" t="s">
        <v>33</v>
      </c>
      <c r="T4" s="7" t="s">
        <v>540</v>
      </c>
      <c r="U4" s="7" t="s">
        <v>329</v>
      </c>
    </row>
    <row r="5" spans="1:28" ht="14.25" customHeight="1">
      <c r="A5" s="3" t="s">
        <v>29</v>
      </c>
      <c r="B5" s="3" t="s">
        <v>14</v>
      </c>
      <c r="C5" s="29" t="s">
        <v>30</v>
      </c>
      <c r="D5" s="3" t="s">
        <v>31</v>
      </c>
      <c r="E5" s="3" t="s">
        <v>32</v>
      </c>
      <c r="F5" s="12">
        <v>3252</v>
      </c>
      <c r="G5" s="12">
        <v>1043</v>
      </c>
      <c r="H5" s="12">
        <v>647</v>
      </c>
      <c r="I5" s="12">
        <v>1545</v>
      </c>
      <c r="J5" s="13">
        <v>18859</v>
      </c>
      <c r="K5" s="12">
        <v>222958</v>
      </c>
      <c r="L5" s="3" t="s">
        <v>33</v>
      </c>
      <c r="M5" s="30">
        <f>(F5 + G5 + H5 ) / K5</f>
        <v>2.2165609666394567E-2</v>
      </c>
      <c r="N5" s="8" t="str">
        <f>IF(AND(C5&gt;=$T$5,C5&lt;=$U$5),"During","Before")</f>
        <v>Before</v>
      </c>
      <c r="O5" s="30">
        <f ca="1">AVERAGEIF($N$2:$N$301,"Before",M5)</f>
        <v>0.12187861400426669</v>
      </c>
      <c r="P5" s="30">
        <f ca="1">AVERAGEIF($N$2:$N$301,"During",M5)</f>
        <v>0.1306658110108371</v>
      </c>
      <c r="Q5" s="30">
        <f ca="1">(P5-O5)/O5</f>
        <v>7.2097940055855805E-2</v>
      </c>
      <c r="S5" s="3" t="s">
        <v>28</v>
      </c>
      <c r="T5" s="7" t="s">
        <v>542</v>
      </c>
      <c r="U5" s="7" t="s">
        <v>520</v>
      </c>
    </row>
    <row r="6" spans="1:28" ht="14.25" customHeight="1">
      <c r="A6" s="3" t="s">
        <v>34</v>
      </c>
      <c r="B6" s="3" t="s">
        <v>20</v>
      </c>
      <c r="C6" s="29">
        <v>45915</v>
      </c>
      <c r="D6" s="3" t="s">
        <v>35</v>
      </c>
      <c r="E6" s="3" t="s">
        <v>36</v>
      </c>
      <c r="F6" s="12">
        <v>5636</v>
      </c>
      <c r="G6" s="12">
        <v>303</v>
      </c>
      <c r="H6" s="12">
        <v>204</v>
      </c>
      <c r="I6" s="12">
        <v>2480</v>
      </c>
      <c r="J6" s="13">
        <v>7377</v>
      </c>
      <c r="K6" s="12">
        <v>241207</v>
      </c>
      <c r="L6" s="3" t="s">
        <v>37</v>
      </c>
      <c r="M6" s="30">
        <f>(F6 + G6 + H6 ) / K6</f>
        <v>2.5467751765081443E-2</v>
      </c>
      <c r="N6" t="str">
        <f>IF(AND(C6&gt;=$T$6,C6&lt;=$U$6),"During","Before")</f>
        <v>During</v>
      </c>
      <c r="O6" s="30">
        <f ca="1">AVERAGEIF($N$2:$N$301,"Before",M6)</f>
        <v>0.12179707660991769</v>
      </c>
      <c r="P6" s="30">
        <f ca="1">AVERAGEIF($N$2:$N$301,"During",M6)</f>
        <v>0.13240556880862311</v>
      </c>
      <c r="Q6" s="30">
        <f ca="1">(P6-O6)/O6</f>
        <v>8.709972762877953E-2</v>
      </c>
      <c r="S6" s="3" t="s">
        <v>37</v>
      </c>
      <c r="T6" s="10">
        <v>45901</v>
      </c>
      <c r="U6" s="10">
        <v>45930</v>
      </c>
    </row>
    <row r="7" spans="1:28" ht="14.25" customHeight="1">
      <c r="A7" s="3" t="s">
        <v>38</v>
      </c>
      <c r="B7" s="3" t="s">
        <v>14</v>
      </c>
      <c r="C7" s="29" t="s">
        <v>39</v>
      </c>
      <c r="D7" s="3" t="s">
        <v>22</v>
      </c>
      <c r="E7" s="3" t="s">
        <v>40</v>
      </c>
      <c r="F7" s="12">
        <v>3605</v>
      </c>
      <c r="G7" s="12">
        <v>206</v>
      </c>
      <c r="H7" s="12">
        <v>921</v>
      </c>
      <c r="I7" s="12">
        <v>852</v>
      </c>
      <c r="J7" s="13">
        <v>11660</v>
      </c>
      <c r="K7" s="12">
        <v>182635</v>
      </c>
      <c r="L7" s="3" t="s">
        <v>24</v>
      </c>
      <c r="M7" s="30">
        <f>(F7 + G7 + H7 ) / K7</f>
        <v>2.590960111698196E-2</v>
      </c>
      <c r="N7" t="str">
        <f>IF(AND(C7&gt;=$T$3,C7&lt;=$U$3),"During","Before")</f>
        <v>Before</v>
      </c>
      <c r="O7" s="30">
        <f ca="1">AVERAGEIF($N$2:$N$301,"Before",M7)</f>
        <v>0.12157641706409801</v>
      </c>
      <c r="P7" s="30">
        <f ca="1">AVERAGEIF($N$2:$N$301,"During",M7)</f>
        <v>0.13455879001076884</v>
      </c>
      <c r="Q7" s="30">
        <f ca="1">(P7-O7)/O7</f>
        <v>0.10678364488917462</v>
      </c>
    </row>
    <row r="8" spans="1:28" ht="14.25" customHeight="1">
      <c r="A8" s="3" t="s">
        <v>41</v>
      </c>
      <c r="B8" s="3" t="s">
        <v>20</v>
      </c>
      <c r="C8" s="29" t="s">
        <v>42</v>
      </c>
      <c r="D8" s="3" t="s">
        <v>31</v>
      </c>
      <c r="E8" s="3" t="s">
        <v>23</v>
      </c>
      <c r="F8" s="12">
        <v>4590</v>
      </c>
      <c r="G8" s="12">
        <v>713</v>
      </c>
      <c r="H8" s="12">
        <v>479</v>
      </c>
      <c r="I8" s="12">
        <v>2730</v>
      </c>
      <c r="J8" s="13">
        <v>41050</v>
      </c>
      <c r="K8" s="12">
        <v>204246</v>
      </c>
      <c r="L8" s="3" t="s">
        <v>28</v>
      </c>
      <c r="M8" s="30">
        <f>(F8 + G8 + H8 ) / K8</f>
        <v>2.8308999931455206E-2</v>
      </c>
      <c r="N8" t="str">
        <f>IF(AND(C8&gt;=$T$4,C8&lt;=$U$4),"During","Before")</f>
        <v>Before</v>
      </c>
      <c r="O8" s="30">
        <f ca="1">AVERAGEIF($N$2:$N$301,"Before",M8)</f>
        <v>0.1213235922223848</v>
      </c>
      <c r="P8" s="30">
        <f ca="1">AVERAGEIF($N$2:$N$301,"During",M8)</f>
        <v>0.13680592574862602</v>
      </c>
      <c r="Q8" s="30">
        <f ca="1">(P8-O8)/O8</f>
        <v>0.12761189511980714</v>
      </c>
    </row>
    <row r="9" spans="1:28" ht="14.25" customHeight="1">
      <c r="A9" s="3" t="s">
        <v>43</v>
      </c>
      <c r="B9" s="3" t="s">
        <v>44</v>
      </c>
      <c r="C9" s="29" t="s">
        <v>45</v>
      </c>
      <c r="D9" s="3" t="s">
        <v>31</v>
      </c>
      <c r="E9" s="3" t="s">
        <v>46</v>
      </c>
      <c r="F9" s="12">
        <v>3906</v>
      </c>
      <c r="G9" s="12">
        <v>1187</v>
      </c>
      <c r="H9" s="12">
        <v>589</v>
      </c>
      <c r="I9" s="12">
        <v>401</v>
      </c>
      <c r="J9" s="13">
        <v>52687</v>
      </c>
      <c r="K9" s="12">
        <v>196498</v>
      </c>
      <c r="L9" s="3" t="s">
        <v>33</v>
      </c>
      <c r="M9" s="30">
        <f>(F9 + G9 + H9 ) / K9</f>
        <v>2.8916324848090057E-2</v>
      </c>
      <c r="N9" s="8" t="str">
        <f>IF(AND(C9&gt;=$T$5,C9&lt;=$U$5),"During","Before")</f>
        <v>Before</v>
      </c>
      <c r="O9" s="30">
        <f ca="1">AVERAGEIF($N$2:$N$301,"Before",M9)</f>
        <v>0.12119635795853019</v>
      </c>
      <c r="P9" s="30">
        <f ca="1">AVERAGEIF($N$2:$N$301,"During",M9)</f>
        <v>0.13859478312595291</v>
      </c>
      <c r="Q9" s="30">
        <f ca="1">(P9-O9)/O9</f>
        <v>0.14355567659364774</v>
      </c>
      <c r="S9" s="35"/>
      <c r="T9" s="36"/>
      <c r="U9" s="36"/>
      <c r="V9" s="36"/>
      <c r="W9" s="36"/>
      <c r="X9" s="36"/>
      <c r="Y9" s="36"/>
      <c r="Z9" s="36"/>
      <c r="AA9" s="36"/>
      <c r="AB9" s="36"/>
    </row>
    <row r="10" spans="1:28" ht="14.25" customHeight="1">
      <c r="A10" s="3" t="s">
        <v>47</v>
      </c>
      <c r="B10" s="3" t="s">
        <v>20</v>
      </c>
      <c r="C10" s="29" t="s">
        <v>48</v>
      </c>
      <c r="D10" s="3" t="s">
        <v>35</v>
      </c>
      <c r="E10" s="3" t="s">
        <v>17</v>
      </c>
      <c r="F10" s="12">
        <v>4125</v>
      </c>
      <c r="G10" s="12">
        <v>1364</v>
      </c>
      <c r="H10" s="12">
        <v>319</v>
      </c>
      <c r="I10" s="12">
        <v>2848</v>
      </c>
      <c r="J10" s="13">
        <v>15379</v>
      </c>
      <c r="K10" s="12">
        <v>188159</v>
      </c>
      <c r="L10" s="3" t="s">
        <v>18</v>
      </c>
      <c r="M10" s="30">
        <f>(F10 + G10 + H10 ) / K10</f>
        <v>3.0867510988047343E-2</v>
      </c>
      <c r="N10" t="str">
        <f>IF(AND(C10&gt;=$T$2,C10&lt;=$U$2),"During","Before")</f>
        <v>Before</v>
      </c>
      <c r="O10" s="30">
        <f ca="1">AVERAGEIF($N$2:$N$301,"Before",M10)</f>
        <v>0.12276448335396813</v>
      </c>
      <c r="P10" s="30">
        <f ca="1">AVERAGEIF($N$2:$N$301,"During",M10)</f>
        <v>0.13496568229467418</v>
      </c>
      <c r="Q10" s="30">
        <f ca="1">(P10-O10)/O10</f>
        <v>9.9387042631264993E-2</v>
      </c>
      <c r="S10" s="39" t="s">
        <v>600</v>
      </c>
      <c r="T10" s="39"/>
      <c r="U10" s="39"/>
      <c r="V10" s="39"/>
      <c r="W10" s="39"/>
      <c r="X10" s="39"/>
      <c r="Y10" s="39"/>
      <c r="Z10" s="39"/>
      <c r="AA10" s="39"/>
      <c r="AB10" s="39"/>
    </row>
    <row r="11" spans="1:28" ht="14.25" customHeight="1">
      <c r="A11" s="3" t="s">
        <v>49</v>
      </c>
      <c r="B11" s="3" t="s">
        <v>44</v>
      </c>
      <c r="C11" s="29" t="s">
        <v>50</v>
      </c>
      <c r="D11" s="3" t="s">
        <v>31</v>
      </c>
      <c r="E11" s="3" t="s">
        <v>51</v>
      </c>
      <c r="F11" s="12">
        <v>6324</v>
      </c>
      <c r="G11" s="12">
        <v>908</v>
      </c>
      <c r="H11" s="12">
        <v>375</v>
      </c>
      <c r="I11" s="12">
        <v>758</v>
      </c>
      <c r="J11" s="13">
        <v>34850</v>
      </c>
      <c r="K11" s="12">
        <v>241039</v>
      </c>
      <c r="L11" s="3" t="s">
        <v>33</v>
      </c>
      <c r="M11" s="30">
        <f>(F11 + G11 + H11 ) / K11</f>
        <v>3.1559208260903839E-2</v>
      </c>
      <c r="N11" s="8" t="str">
        <f>IF(AND(C11&gt;=$T$5,C11&lt;=$U$5),"During","Before")</f>
        <v>Before</v>
      </c>
      <c r="O11" s="30">
        <f ca="1">AVERAGEIF($N$2:$N$301,"Before",M11)</f>
        <v>0.12449303483874076</v>
      </c>
      <c r="P11" s="30">
        <f ca="1">AVERAGEIF($N$2:$N$301,"During",M11)</f>
        <v>0.13065013816183751</v>
      </c>
      <c r="Q11" s="30">
        <f ca="1">(P11-O11)/O11</f>
        <v>4.9457412063833285E-2</v>
      </c>
      <c r="S11" s="39" t="s">
        <v>601</v>
      </c>
      <c r="T11" s="39"/>
      <c r="U11" s="39"/>
      <c r="V11" s="39"/>
      <c r="W11" s="39"/>
      <c r="X11" s="39"/>
      <c r="Y11" s="39"/>
      <c r="Z11" s="39"/>
      <c r="AA11" s="39"/>
      <c r="AB11" s="39"/>
    </row>
    <row r="12" spans="1:28" ht="14.25" customHeight="1">
      <c r="A12" s="3" t="s">
        <v>52</v>
      </c>
      <c r="B12" s="3" t="s">
        <v>14</v>
      </c>
      <c r="C12" s="29" t="s">
        <v>53</v>
      </c>
      <c r="D12" s="3" t="s">
        <v>31</v>
      </c>
      <c r="E12" s="3" t="s">
        <v>27</v>
      </c>
      <c r="F12" s="12">
        <v>6208</v>
      </c>
      <c r="G12" s="12">
        <v>725</v>
      </c>
      <c r="H12" s="12">
        <v>309</v>
      </c>
      <c r="I12" s="12">
        <v>848</v>
      </c>
      <c r="J12" s="13">
        <v>39319</v>
      </c>
      <c r="K12" s="12">
        <v>225763</v>
      </c>
      <c r="L12" s="3" t="s">
        <v>33</v>
      </c>
      <c r="M12" s="30">
        <f>(F12 + G12 + H12 ) / K12</f>
        <v>3.207788698768177E-2</v>
      </c>
      <c r="N12" s="8" t="str">
        <f>IF(AND(C12&gt;=$T$5,C12&lt;=$U$5),"During","Before")</f>
        <v>Before</v>
      </c>
      <c r="O12" s="30">
        <f ca="1">AVERAGEIF($N$2:$N$301,"Before",M12)</f>
        <v>0.12453020703359899</v>
      </c>
      <c r="P12" s="30">
        <f ca="1">AVERAGEIF($N$2:$N$301,"During",M12)</f>
        <v>0.13193206626683135</v>
      </c>
      <c r="Q12" s="30">
        <f ca="1">(P12-O12)/O12</f>
        <v>5.943826329008909E-2</v>
      </c>
    </row>
    <row r="13" spans="1:28" ht="14.25" customHeight="1">
      <c r="A13" s="3" t="s">
        <v>54</v>
      </c>
      <c r="B13" s="3" t="s">
        <v>20</v>
      </c>
      <c r="C13" s="29" t="s">
        <v>55</v>
      </c>
      <c r="D13" s="3" t="s">
        <v>16</v>
      </c>
      <c r="E13" s="3" t="s">
        <v>32</v>
      </c>
      <c r="F13" s="12">
        <v>4219</v>
      </c>
      <c r="G13" s="12">
        <v>240</v>
      </c>
      <c r="H13" s="12">
        <v>670</v>
      </c>
      <c r="I13" s="12">
        <v>815</v>
      </c>
      <c r="J13" s="13">
        <v>11978</v>
      </c>
      <c r="K13" s="12">
        <v>159735</v>
      </c>
      <c r="L13" s="3" t="s">
        <v>24</v>
      </c>
      <c r="M13" s="30">
        <f>(F13 + G13 + H13 ) / K13</f>
        <v>3.2109431245500357E-2</v>
      </c>
      <c r="N13" t="str">
        <f>IF(AND(C13&gt;=$T$3,C13&lt;=$U$3),"During","Before")</f>
        <v>Before</v>
      </c>
      <c r="O13" s="30">
        <f ca="1">AVERAGEIF($N$2:$N$301,"Before",M13)</f>
        <v>0.12446145940838771</v>
      </c>
      <c r="P13" s="30">
        <f ca="1">AVERAGEIF($N$2:$N$301,"During",M13)</f>
        <v>0.13356514263755925</v>
      </c>
      <c r="Q13" s="30">
        <f ca="1">(P13-O13)/O13</f>
        <v>7.3144596507583842E-2</v>
      </c>
    </row>
    <row r="14" spans="1:28" ht="14.25" customHeight="1">
      <c r="A14" s="3" t="s">
        <v>56</v>
      </c>
      <c r="B14" s="3" t="s">
        <v>20</v>
      </c>
      <c r="C14" s="29" t="s">
        <v>57</v>
      </c>
      <c r="D14" s="3" t="s">
        <v>22</v>
      </c>
      <c r="E14" s="3" t="s">
        <v>46</v>
      </c>
      <c r="F14" s="12">
        <v>6164</v>
      </c>
      <c r="G14" s="12">
        <v>326</v>
      </c>
      <c r="H14" s="12">
        <v>615</v>
      </c>
      <c r="I14" s="12">
        <v>2806</v>
      </c>
      <c r="J14" s="13">
        <v>38579</v>
      </c>
      <c r="K14" s="12">
        <v>206129</v>
      </c>
      <c r="L14" s="3" t="s">
        <v>18</v>
      </c>
      <c r="M14" s="30">
        <f>(F14 + G14 + H14 ) / K14</f>
        <v>3.4468706489625425E-2</v>
      </c>
      <c r="N14" t="str">
        <f>IF(AND(C14&gt;=$T$2,C14&lt;=$U$2),"During","Before")</f>
        <v>Before</v>
      </c>
      <c r="O14" s="30">
        <f ca="1">AVERAGEIF($N$2:$N$301,"Before",M14)</f>
        <v>0.12420181693379555</v>
      </c>
      <c r="P14" s="30">
        <f ca="1">AVERAGEIF($N$2:$N$301,"During",M14)</f>
        <v>0.135837758660625</v>
      </c>
      <c r="Q14" s="30">
        <f ca="1">(P14-O14)/O14</f>
        <v>9.3685760917908867E-2</v>
      </c>
    </row>
    <row r="15" spans="1:28" ht="14.25" customHeight="1">
      <c r="A15" s="3" t="s">
        <v>58</v>
      </c>
      <c r="B15" s="3" t="s">
        <v>44</v>
      </c>
      <c r="C15" s="29">
        <v>45942</v>
      </c>
      <c r="D15" s="3" t="s">
        <v>16</v>
      </c>
      <c r="E15" s="3" t="s">
        <v>46</v>
      </c>
      <c r="F15" s="12">
        <v>7126</v>
      </c>
      <c r="G15" s="12">
        <v>484</v>
      </c>
      <c r="H15" s="12">
        <v>565</v>
      </c>
      <c r="I15" s="12">
        <v>573</v>
      </c>
      <c r="J15" s="13">
        <v>7389</v>
      </c>
      <c r="K15" s="12">
        <v>237096</v>
      </c>
      <c r="L15" s="3" t="s">
        <v>37</v>
      </c>
      <c r="M15" s="30">
        <f>(F15 + G15 + H15 ) / K15</f>
        <v>3.4479704423524646E-2</v>
      </c>
      <c r="N15" t="str">
        <f>IF(AND(C15&gt;=$T$6,C15&lt;=$U$6),"During","Before")</f>
        <v>Before</v>
      </c>
      <c r="O15" s="30">
        <f ca="1">AVERAGEIF($N$2:$N$301,"Before",M15)</f>
        <v>0.12403084756457718</v>
      </c>
      <c r="P15" s="30">
        <f ca="1">AVERAGEIF($N$2:$N$301,"During",M15)</f>
        <v>0.13776983958549524</v>
      </c>
      <c r="Q15" s="30">
        <f ca="1">(P15-O15)/O15</f>
        <v>0.11077076623027027</v>
      </c>
    </row>
    <row r="16" spans="1:28" ht="14.25" customHeight="1">
      <c r="A16" s="3" t="s">
        <v>59</v>
      </c>
      <c r="B16" s="3" t="s">
        <v>20</v>
      </c>
      <c r="C16" s="29">
        <v>45940</v>
      </c>
      <c r="D16" s="3" t="s">
        <v>16</v>
      </c>
      <c r="E16" s="3" t="s">
        <v>60</v>
      </c>
      <c r="F16" s="12">
        <v>6621</v>
      </c>
      <c r="G16" s="12">
        <v>922</v>
      </c>
      <c r="H16" s="12">
        <v>930</v>
      </c>
      <c r="I16" s="12">
        <v>694</v>
      </c>
      <c r="J16" s="13">
        <v>839</v>
      </c>
      <c r="K16" s="12">
        <v>243532</v>
      </c>
      <c r="L16" s="3" t="s">
        <v>37</v>
      </c>
      <c r="M16" s="30">
        <f>(F16 + G16 + H16 ) / K16</f>
        <v>3.479214230573395E-2</v>
      </c>
      <c r="N16" t="str">
        <f>IF(AND(C16&gt;=$T$6,C16&lt;=$U$6),"During","Before")</f>
        <v>Before</v>
      </c>
      <c r="O16" s="30">
        <f ca="1">AVERAGEIF($N$2:$N$301,"Before",M16)</f>
        <v>0.12399532381617481</v>
      </c>
      <c r="P16" s="30">
        <f ca="1">AVERAGEIF($N$2:$N$301,"During",M16)</f>
        <v>0.13924508758230697</v>
      </c>
      <c r="Q16" s="30">
        <f ca="1">(P16-O16)/O16</f>
        <v>0.12298660382338444</v>
      </c>
    </row>
    <row r="17" spans="1:17" ht="14.25" customHeight="1">
      <c r="A17" s="3" t="s">
        <v>61</v>
      </c>
      <c r="B17" s="3" t="s">
        <v>62</v>
      </c>
      <c r="C17" s="29">
        <v>45918</v>
      </c>
      <c r="D17" s="3" t="s">
        <v>22</v>
      </c>
      <c r="E17" s="3" t="s">
        <v>32</v>
      </c>
      <c r="F17" s="12">
        <v>3828</v>
      </c>
      <c r="G17" s="12">
        <v>203</v>
      </c>
      <c r="H17" s="12">
        <v>506</v>
      </c>
      <c r="I17" s="12">
        <v>2440</v>
      </c>
      <c r="J17" s="13">
        <v>63650</v>
      </c>
      <c r="K17" s="12">
        <v>126365</v>
      </c>
      <c r="L17" s="3" t="s">
        <v>37</v>
      </c>
      <c r="M17" s="30">
        <f>(F17 + G17 + H17 ) / K17</f>
        <v>3.5903929094290347E-2</v>
      </c>
      <c r="N17" t="str">
        <f>IF(AND(C17&gt;=$T$6,C17&lt;=$U$6),"During","Before")</f>
        <v>During</v>
      </c>
      <c r="O17" s="30">
        <f ca="1">AVERAGEIF($N$2:$N$301,"Before",M17)</f>
        <v>0.12378689559648101</v>
      </c>
      <c r="P17" s="30">
        <f ca="1">AVERAGEIF($N$2:$N$301,"During",M17)</f>
        <v>0.14128825366750958</v>
      </c>
      <c r="Q17" s="30">
        <f ca="1">(P17-O17)/O17</f>
        <v>0.1413829629275079</v>
      </c>
    </row>
    <row r="18" spans="1:17" ht="14.25" customHeight="1">
      <c r="A18" s="3" t="s">
        <v>63</v>
      </c>
      <c r="B18" s="3" t="s">
        <v>14</v>
      </c>
      <c r="C18" s="29" t="s">
        <v>64</v>
      </c>
      <c r="D18" s="3" t="s">
        <v>22</v>
      </c>
      <c r="E18" s="3" t="s">
        <v>17</v>
      </c>
      <c r="F18" s="12">
        <v>3917</v>
      </c>
      <c r="G18" s="12">
        <v>865</v>
      </c>
      <c r="H18" s="12">
        <v>759</v>
      </c>
      <c r="I18" s="12">
        <v>2282</v>
      </c>
      <c r="J18" s="13">
        <v>56125</v>
      </c>
      <c r="K18" s="12">
        <v>154014</v>
      </c>
      <c r="L18" s="3" t="s">
        <v>33</v>
      </c>
      <c r="M18" s="30">
        <f>(F18 + G18 + H18 ) / K18</f>
        <v>3.5977248821535704E-2</v>
      </c>
      <c r="N18" s="8" t="str">
        <f>IF(AND(C18&gt;=$T$5,C18&lt;=$U$5),"During","Before")</f>
        <v>During</v>
      </c>
      <c r="O18" s="30">
        <f ca="1">AVERAGEIF($N$2:$N$301,"Before",M18)</f>
        <v>0.12346052124483922</v>
      </c>
      <c r="P18" s="30">
        <f ca="1">AVERAGEIF($N$2:$N$301,"During",M18)</f>
        <v>0.14369783813963238</v>
      </c>
      <c r="Q18" s="30">
        <f ca="1">(P18-O18)/O18</f>
        <v>0.16391731292515585</v>
      </c>
    </row>
    <row r="19" spans="1:17" ht="14.25" customHeight="1">
      <c r="A19" s="3" t="s">
        <v>65</v>
      </c>
      <c r="B19" s="3" t="s">
        <v>62</v>
      </c>
      <c r="C19" s="29">
        <v>45916</v>
      </c>
      <c r="D19" s="3" t="s">
        <v>35</v>
      </c>
      <c r="E19" s="3" t="s">
        <v>51</v>
      </c>
      <c r="F19" s="12">
        <v>6809</v>
      </c>
      <c r="G19" s="12">
        <v>397</v>
      </c>
      <c r="H19" s="12">
        <v>813</v>
      </c>
      <c r="I19" s="12">
        <v>1125</v>
      </c>
      <c r="J19" s="13">
        <v>12206</v>
      </c>
      <c r="K19" s="12">
        <v>218136</v>
      </c>
      <c r="L19" s="3" t="s">
        <v>37</v>
      </c>
      <c r="M19" s="30">
        <f>(F19 + G19 + H19 ) / K19</f>
        <v>3.6761469908680823E-2</v>
      </c>
      <c r="N19" t="str">
        <f>IF(AND(C19&gt;=$T$6,C19&lt;=$U$6),"During","Before")</f>
        <v>During</v>
      </c>
      <c r="O19" s="30">
        <f ca="1">AVERAGEIF($N$2:$N$301,"Before",M19)</f>
        <v>0.12326883873178034</v>
      </c>
      <c r="P19" s="30">
        <f ca="1">AVERAGEIF($N$2:$N$301,"During",M19)</f>
        <v>0.1456535711359517</v>
      </c>
      <c r="Q19" s="30">
        <f ca="1">(P19-O19)/O19</f>
        <v>0.18159279047706553</v>
      </c>
    </row>
    <row r="20" spans="1:17" ht="14.25" customHeight="1">
      <c r="A20" s="3" t="s">
        <v>66</v>
      </c>
      <c r="B20" s="3" t="s">
        <v>14</v>
      </c>
      <c r="C20" s="29">
        <v>45933</v>
      </c>
      <c r="D20" s="3" t="s">
        <v>31</v>
      </c>
      <c r="E20" s="3" t="s">
        <v>67</v>
      </c>
      <c r="F20" s="12">
        <v>6777</v>
      </c>
      <c r="G20" s="12">
        <v>617</v>
      </c>
      <c r="H20" s="12">
        <v>551</v>
      </c>
      <c r="I20" s="12">
        <v>2109</v>
      </c>
      <c r="J20" s="13">
        <v>18559</v>
      </c>
      <c r="K20" s="12">
        <v>208452</v>
      </c>
      <c r="L20" s="3" t="s">
        <v>37</v>
      </c>
      <c r="M20" s="30">
        <f>(F20 + G20 + H20 ) / K20</f>
        <v>3.8114290100358834E-2</v>
      </c>
      <c r="N20" t="str">
        <f>IF(AND(C20&gt;=$T$6,C20&lt;=$U$6),"During","Before")</f>
        <v>Before</v>
      </c>
      <c r="O20" s="30">
        <f ca="1">AVERAGEIF($N$2:$N$301,"Before",M20)</f>
        <v>0.12469830657721889</v>
      </c>
      <c r="P20" s="30">
        <f ca="1">AVERAGEIF($N$2:$N$301,"During",M20)</f>
        <v>0.14255661080929183</v>
      </c>
      <c r="Q20" s="30">
        <f ca="1">(P20-O20)/O20</f>
        <v>0.14321208300462571</v>
      </c>
    </row>
    <row r="21" spans="1:17" ht="14.25" customHeight="1">
      <c r="A21" s="3" t="s">
        <v>68</v>
      </c>
      <c r="B21" s="3" t="s">
        <v>44</v>
      </c>
      <c r="C21" s="29" t="s">
        <v>69</v>
      </c>
      <c r="D21" s="3" t="s">
        <v>35</v>
      </c>
      <c r="E21" s="3" t="s">
        <v>46</v>
      </c>
      <c r="F21" s="12">
        <v>4048</v>
      </c>
      <c r="G21" s="12">
        <v>751</v>
      </c>
      <c r="H21" s="12">
        <v>930</v>
      </c>
      <c r="I21" s="12">
        <v>1382</v>
      </c>
      <c r="J21" s="13">
        <v>16844</v>
      </c>
      <c r="K21" s="12">
        <v>148177</v>
      </c>
      <c r="L21" s="3" t="s">
        <v>24</v>
      </c>
      <c r="M21" s="30">
        <f>(F21 + G21 + H21 ) / K21</f>
        <v>3.8663220337839206E-2</v>
      </c>
      <c r="N21" t="str">
        <f>IF(AND(C21&gt;=$T$3,C21&lt;=$U$3),"During","Before")</f>
        <v>Before</v>
      </c>
      <c r="O21" s="30">
        <f ca="1">AVERAGEIF($N$2:$N$301,"Before",M21)</f>
        <v>0.12614731383667549</v>
      </c>
      <c r="P21" s="30">
        <f ca="1">AVERAGEIF($N$2:$N$301,"During",M21)</f>
        <v>0.13927548183127397</v>
      </c>
      <c r="Q21" s="30">
        <f ca="1">(P21-O21)/O21</f>
        <v>0.1040701351088275</v>
      </c>
    </row>
    <row r="22" spans="1:17" ht="14.25" customHeight="1">
      <c r="A22" s="3" t="s">
        <v>70</v>
      </c>
      <c r="B22" s="3" t="s">
        <v>20</v>
      </c>
      <c r="C22" s="29">
        <v>45906</v>
      </c>
      <c r="D22" s="3" t="s">
        <v>35</v>
      </c>
      <c r="E22" s="3" t="s">
        <v>46</v>
      </c>
      <c r="F22" s="12">
        <v>7124</v>
      </c>
      <c r="G22" s="12">
        <v>469</v>
      </c>
      <c r="H22" s="12">
        <v>851</v>
      </c>
      <c r="I22" s="12">
        <v>2571</v>
      </c>
      <c r="J22" s="13">
        <v>23275</v>
      </c>
      <c r="K22" s="12">
        <v>216313</v>
      </c>
      <c r="L22" s="3" t="s">
        <v>37</v>
      </c>
      <c r="M22" s="30">
        <f>(F22 + G22 + H22 ) / K22</f>
        <v>3.9036026498638549E-2</v>
      </c>
      <c r="N22" t="str">
        <f>IF(AND(C22&gt;=$T$6,C22&lt;=$U$6),"During","Before")</f>
        <v>During</v>
      </c>
      <c r="O22" s="30">
        <f ca="1">AVERAGEIF($N$2:$N$301,"Before",M22)</f>
        <v>0.1259658451551694</v>
      </c>
      <c r="P22" s="30">
        <f ca="1">AVERAGEIF($N$2:$N$301,"During",M22)</f>
        <v>0.14125487759227637</v>
      </c>
      <c r="Q22" s="30">
        <f ca="1">(P22-O22)/O22</f>
        <v>0.12137442826881661</v>
      </c>
    </row>
    <row r="23" spans="1:17" ht="14.25" customHeight="1">
      <c r="A23" s="3" t="s">
        <v>71</v>
      </c>
      <c r="B23" s="3" t="s">
        <v>20</v>
      </c>
      <c r="C23" s="29">
        <v>45922</v>
      </c>
      <c r="D23" s="3" t="s">
        <v>22</v>
      </c>
      <c r="E23" s="3" t="s">
        <v>27</v>
      </c>
      <c r="F23" s="12">
        <v>8996</v>
      </c>
      <c r="G23" s="12">
        <v>329</v>
      </c>
      <c r="H23" s="12">
        <v>378</v>
      </c>
      <c r="I23" s="12">
        <v>2384</v>
      </c>
      <c r="J23" s="13">
        <v>39404</v>
      </c>
      <c r="K23" s="12">
        <v>242724</v>
      </c>
      <c r="L23" s="3" t="s">
        <v>37</v>
      </c>
      <c r="M23" s="30">
        <f>(F23 + G23 + H23 ) / K23</f>
        <v>3.9975445361810122E-2</v>
      </c>
      <c r="N23" t="str">
        <f>IF(AND(C23&gt;=$T$6,C23&lt;=$U$6),"During","Before")</f>
        <v>During</v>
      </c>
      <c r="O23" s="30">
        <f ca="1">AVERAGEIF($N$2:$N$301,"Before",M23)</f>
        <v>0.12763766246154137</v>
      </c>
      <c r="P23" s="30">
        <f ca="1">AVERAGEIF($N$2:$N$301,"During",M23)</f>
        <v>0.1371454539877888</v>
      </c>
      <c r="Q23" s="30">
        <f ca="1">(P23-O23)/O23</f>
        <v>7.449048613775909E-2</v>
      </c>
    </row>
    <row r="24" spans="1:17" ht="14.25" customHeight="1">
      <c r="A24" s="3" t="s">
        <v>72</v>
      </c>
      <c r="B24" s="3" t="s">
        <v>20</v>
      </c>
      <c r="C24" s="29" t="s">
        <v>73</v>
      </c>
      <c r="D24" s="3" t="s">
        <v>22</v>
      </c>
      <c r="E24" s="3" t="s">
        <v>60</v>
      </c>
      <c r="F24" s="12">
        <v>7122</v>
      </c>
      <c r="G24" s="12">
        <v>628</v>
      </c>
      <c r="H24" s="12">
        <v>757</v>
      </c>
      <c r="I24" s="12">
        <v>2313</v>
      </c>
      <c r="J24" s="13">
        <v>50924</v>
      </c>
      <c r="K24" s="12">
        <v>210954</v>
      </c>
      <c r="L24" s="3" t="s">
        <v>18</v>
      </c>
      <c r="M24" s="30">
        <f>(F24 + G24 + H24 ) / K24</f>
        <v>4.0326327066564277E-2</v>
      </c>
      <c r="N24" t="str">
        <f>IF(AND(C24&gt;=$T$2,C24&lt;=$U$2),"During","Before")</f>
        <v>Before</v>
      </c>
      <c r="O24" s="30">
        <f ca="1">AVERAGEIF($N$2:$N$301,"Before",M24)</f>
        <v>0.12737489558434067</v>
      </c>
      <c r="P24" s="30">
        <f ca="1">AVERAGEIF($N$2:$N$301,"During",M24)</f>
        <v>0.13943366185600917</v>
      </c>
      <c r="Q24" s="30">
        <f ca="1">(P24-O24)/O24</f>
        <v>9.4671451673016979E-2</v>
      </c>
    </row>
    <row r="25" spans="1:17" ht="14.25" customHeight="1">
      <c r="A25" s="3" t="s">
        <v>74</v>
      </c>
      <c r="B25" s="3" t="s">
        <v>20</v>
      </c>
      <c r="C25" s="29">
        <v>45917</v>
      </c>
      <c r="D25" s="3" t="s">
        <v>16</v>
      </c>
      <c r="E25" s="3" t="s">
        <v>32</v>
      </c>
      <c r="F25" s="12">
        <v>2117</v>
      </c>
      <c r="G25" s="12">
        <v>1133</v>
      </c>
      <c r="H25" s="12">
        <v>203</v>
      </c>
      <c r="I25" s="12">
        <v>1173</v>
      </c>
      <c r="J25" s="13">
        <v>40125</v>
      </c>
      <c r="K25" s="12">
        <v>85379</v>
      </c>
      <c r="L25" s="3" t="s">
        <v>37</v>
      </c>
      <c r="M25" s="30">
        <f>(F25 + G25 + H25 ) / K25</f>
        <v>4.0443200318579509E-2</v>
      </c>
      <c r="N25" t="str">
        <f>IF(AND(C25&gt;=$T$6,C25&lt;=$U$6),"During","Before")</f>
        <v>During</v>
      </c>
      <c r="O25" s="30">
        <f ca="1">AVERAGEIF($N$2:$N$301,"Before",M25)</f>
        <v>0.12699053129039445</v>
      </c>
      <c r="P25" s="30">
        <f ca="1">AVERAGEIF($N$2:$N$301,"During",M25)</f>
        <v>0.14212100356112459</v>
      </c>
      <c r="Q25" s="30">
        <f ca="1">(P25-O25)/O25</f>
        <v>0.11914646010993267</v>
      </c>
    </row>
    <row r="26" spans="1:17" ht="14.25" customHeight="1">
      <c r="A26" s="3" t="s">
        <v>75</v>
      </c>
      <c r="B26" s="3" t="s">
        <v>44</v>
      </c>
      <c r="C26" s="29" t="s">
        <v>76</v>
      </c>
      <c r="D26" s="3" t="s">
        <v>31</v>
      </c>
      <c r="E26" s="3" t="s">
        <v>17</v>
      </c>
      <c r="F26" s="12">
        <v>6632</v>
      </c>
      <c r="G26" s="12">
        <v>254</v>
      </c>
      <c r="H26" s="12">
        <v>525</v>
      </c>
      <c r="I26" s="12">
        <v>1013</v>
      </c>
      <c r="J26" s="13">
        <v>13838</v>
      </c>
      <c r="K26" s="12">
        <v>180180</v>
      </c>
      <c r="L26" s="3" t="s">
        <v>33</v>
      </c>
      <c r="M26" s="30">
        <f>(F26 + G26 + H26 ) / K26</f>
        <v>4.1131091131091133E-2</v>
      </c>
      <c r="N26" s="8" t="str">
        <f>IF(AND(C26&gt;=$T$5,C26&lt;=$U$5),"During","Before")</f>
        <v>Before</v>
      </c>
      <c r="O26" s="30">
        <f ca="1">AVERAGEIF($N$2:$N$301,"Before",M26)</f>
        <v>0.12675316214393348</v>
      </c>
      <c r="P26" s="30">
        <f ca="1">AVERAGEIF($N$2:$N$301,"During",M26)</f>
        <v>0.14429730450029926</v>
      </c>
      <c r="Q26" s="30">
        <f ca="1">(P26-O26)/O26</f>
        <v>0.13841187122766752</v>
      </c>
    </row>
    <row r="27" spans="1:17" ht="14.25" customHeight="1">
      <c r="A27" s="3" t="s">
        <v>77</v>
      </c>
      <c r="B27" s="3" t="s">
        <v>14</v>
      </c>
      <c r="C27" s="29" t="s">
        <v>78</v>
      </c>
      <c r="D27" s="3" t="s">
        <v>22</v>
      </c>
      <c r="E27" s="3" t="s">
        <v>32</v>
      </c>
      <c r="F27" s="12">
        <v>8283</v>
      </c>
      <c r="G27" s="12">
        <v>720</v>
      </c>
      <c r="H27" s="12">
        <v>888</v>
      </c>
      <c r="I27" s="12">
        <v>611</v>
      </c>
      <c r="J27" s="13">
        <v>52791</v>
      </c>
      <c r="K27" s="12">
        <v>235229</v>
      </c>
      <c r="L27" s="3" t="s">
        <v>33</v>
      </c>
      <c r="M27" s="30">
        <f>(F27 + G27 + H27 ) / K27</f>
        <v>4.2048386891072105E-2</v>
      </c>
      <c r="N27" s="8" t="str">
        <f>IF(AND(C27&gt;=$T$5,C27&lt;=$U$5),"During","Before")</f>
        <v>Before</v>
      </c>
      <c r="O27" s="30">
        <f ca="1">AVERAGEIF($N$2:$N$301,"Before",M27)</f>
        <v>0.12850715185755313</v>
      </c>
      <c r="P27" s="30">
        <f ca="1">AVERAGEIF($N$2:$N$301,"During",M27)</f>
        <v>0.13993547231268999</v>
      </c>
      <c r="Q27" s="30">
        <f ca="1">(P27-O27)/O27</f>
        <v>8.8931396345978186E-2</v>
      </c>
    </row>
    <row r="28" spans="1:17" ht="14.25" customHeight="1">
      <c r="A28" s="3" t="s">
        <v>79</v>
      </c>
      <c r="B28" s="3" t="s">
        <v>14</v>
      </c>
      <c r="C28" s="29" t="s">
        <v>80</v>
      </c>
      <c r="D28" s="3" t="s">
        <v>16</v>
      </c>
      <c r="E28" s="3" t="s">
        <v>51</v>
      </c>
      <c r="F28" s="12">
        <v>8288</v>
      </c>
      <c r="G28" s="12">
        <v>1401</v>
      </c>
      <c r="H28" s="12">
        <v>819</v>
      </c>
      <c r="I28" s="12">
        <v>1235</v>
      </c>
      <c r="J28" s="13">
        <v>33446</v>
      </c>
      <c r="K28" s="12">
        <v>248786</v>
      </c>
      <c r="L28" s="3" t="s">
        <v>33</v>
      </c>
      <c r="M28" s="30">
        <f>(F28 + G28 + H28 ) / K28</f>
        <v>4.2237103373984064E-2</v>
      </c>
      <c r="N28" s="8" t="str">
        <f>IF(AND(C28&gt;=$T$5,C28&lt;=$U$5),"During","Before")</f>
        <v>Before</v>
      </c>
      <c r="O28" s="30">
        <f ca="1">AVERAGEIF($N$2:$N$301,"Before",M28)</f>
        <v>0.13008263712558818</v>
      </c>
      <c r="P28" s="30">
        <f ca="1">AVERAGEIF($N$2:$N$301,"During",M28)</f>
        <v>0.1360388940066268</v>
      </c>
      <c r="Q28" s="30">
        <f ca="1">(P28-O28)/O28</f>
        <v>4.5788254394690357E-2</v>
      </c>
    </row>
    <row r="29" spans="1:17" ht="14.25" customHeight="1">
      <c r="A29" s="3" t="s">
        <v>81</v>
      </c>
      <c r="B29" s="3" t="s">
        <v>44</v>
      </c>
      <c r="C29" s="29" t="s">
        <v>82</v>
      </c>
      <c r="D29" s="3" t="s">
        <v>16</v>
      </c>
      <c r="E29" s="3" t="s">
        <v>60</v>
      </c>
      <c r="F29" s="12">
        <v>5900</v>
      </c>
      <c r="G29" s="12">
        <v>546</v>
      </c>
      <c r="H29" s="12">
        <v>592</v>
      </c>
      <c r="I29" s="12">
        <v>1594</v>
      </c>
      <c r="J29" s="13">
        <v>38627</v>
      </c>
      <c r="K29" s="12">
        <v>164398</v>
      </c>
      <c r="L29" s="3" t="s">
        <v>18</v>
      </c>
      <c r="M29" s="30">
        <f>(F29 + G29 + H29 ) / K29</f>
        <v>4.2810739790021778E-2</v>
      </c>
      <c r="N29" t="str">
        <f>IF(AND(C29&gt;=$T$2,C29&lt;=$U$2),"During","Before")</f>
        <v>Before</v>
      </c>
      <c r="O29" s="30">
        <f ca="1">AVERAGEIF($N$2:$N$301,"Before",M29)</f>
        <v>0.12982418703574025</v>
      </c>
      <c r="P29" s="30">
        <f ca="1">AVERAGEIF($N$2:$N$301,"During",M29)</f>
        <v>0.13837720470825579</v>
      </c>
      <c r="Q29" s="30">
        <f ca="1">(P29-O29)/O29</f>
        <v>6.5881542321238773E-2</v>
      </c>
    </row>
    <row r="30" spans="1:17" ht="14.25" customHeight="1">
      <c r="A30" s="3" t="s">
        <v>83</v>
      </c>
      <c r="B30" s="3" t="s">
        <v>62</v>
      </c>
      <c r="C30" s="29" t="s">
        <v>84</v>
      </c>
      <c r="D30" s="3" t="s">
        <v>35</v>
      </c>
      <c r="E30" s="3" t="s">
        <v>67</v>
      </c>
      <c r="F30" s="12">
        <v>6858</v>
      </c>
      <c r="G30" s="12">
        <v>415</v>
      </c>
      <c r="H30" s="12">
        <v>366</v>
      </c>
      <c r="I30" s="12">
        <v>2761</v>
      </c>
      <c r="J30" s="13">
        <v>2988</v>
      </c>
      <c r="K30" s="12">
        <v>177348</v>
      </c>
      <c r="L30" s="3" t="s">
        <v>33</v>
      </c>
      <c r="M30" s="30">
        <f>(F30 + G30 + H30 ) / K30</f>
        <v>4.3073505198818141E-2</v>
      </c>
      <c r="N30" s="8" t="str">
        <f>IF(AND(C30&gt;=$T$5,C30&lt;=$U$5),"During","Before")</f>
        <v>Before</v>
      </c>
      <c r="O30" s="30">
        <f ca="1">AVERAGEIF($N$2:$N$301,"Before",M30)</f>
        <v>0.12950470556897942</v>
      </c>
      <c r="P30" s="30">
        <f ca="1">AVERAGEIF($N$2:$N$301,"During",M30)</f>
        <v>0.14090874629403055</v>
      </c>
      <c r="Q30" s="30">
        <f ca="1">(P30-O30)/O30</f>
        <v>8.8058890794333988E-2</v>
      </c>
    </row>
    <row r="31" spans="1:17" ht="14.25" customHeight="1">
      <c r="A31" s="3" t="s">
        <v>85</v>
      </c>
      <c r="B31" s="3" t="s">
        <v>44</v>
      </c>
      <c r="C31" s="29" t="s">
        <v>86</v>
      </c>
      <c r="D31" s="3" t="s">
        <v>35</v>
      </c>
      <c r="E31" s="3" t="s">
        <v>36</v>
      </c>
      <c r="F31" s="12">
        <v>7989</v>
      </c>
      <c r="G31" s="12">
        <v>1206</v>
      </c>
      <c r="H31" s="12">
        <v>376</v>
      </c>
      <c r="I31" s="12">
        <v>2769</v>
      </c>
      <c r="J31" s="13">
        <v>27550</v>
      </c>
      <c r="K31" s="12">
        <v>221749</v>
      </c>
      <c r="L31" s="3" t="s">
        <v>28</v>
      </c>
      <c r="M31" s="30">
        <f>(F31 + G31 + H31 ) / K31</f>
        <v>4.3161412227338117E-2</v>
      </c>
      <c r="N31" t="str">
        <f>IF(AND(C31&gt;=$T$4,C31&lt;=$U$4),"During","Before")</f>
        <v>Before</v>
      </c>
      <c r="O31" s="30">
        <f ca="1">AVERAGEIF($N$2:$N$301,"Before",M31)</f>
        <v>0.12953851013876674</v>
      </c>
      <c r="P31" s="30">
        <f ca="1">AVERAGEIF($N$2:$N$301,"During",M31)</f>
        <v>0.14220927483033896</v>
      </c>
      <c r="Q31" s="30">
        <f ca="1">(P31-O31)/O31</f>
        <v>9.7814655101396461E-2</v>
      </c>
    </row>
    <row r="32" spans="1:17" ht="14.25" customHeight="1">
      <c r="A32" s="3" t="s">
        <v>87</v>
      </c>
      <c r="B32" s="3" t="s">
        <v>44</v>
      </c>
      <c r="C32" s="29">
        <v>45931</v>
      </c>
      <c r="D32" s="3" t="s">
        <v>16</v>
      </c>
      <c r="E32" s="3" t="s">
        <v>88</v>
      </c>
      <c r="F32" s="12">
        <v>6188</v>
      </c>
      <c r="G32" s="12">
        <v>774</v>
      </c>
      <c r="H32" s="12">
        <v>647</v>
      </c>
      <c r="I32" s="12">
        <v>1830</v>
      </c>
      <c r="J32" s="13">
        <v>55436</v>
      </c>
      <c r="K32" s="12">
        <v>175542</v>
      </c>
      <c r="L32" s="3" t="s">
        <v>37</v>
      </c>
      <c r="M32" s="30">
        <f>(F32 + G32 + H32 ) / K32</f>
        <v>4.3345752013763089E-2</v>
      </c>
      <c r="N32" t="str">
        <f>IF(AND(C32&gt;=$T$6,C32&lt;=$U$6),"During","Before")</f>
        <v>Before</v>
      </c>
      <c r="O32" s="30">
        <f ca="1">AVERAGEIF($N$2:$N$301,"Before",M32)</f>
        <v>0.13132364140097966</v>
      </c>
      <c r="P32" s="30">
        <f ca="1">AVERAGEIF($N$2:$N$301,"During",M32)</f>
        <v>0.13761211312264368</v>
      </c>
      <c r="Q32" s="30">
        <f ca="1">(P32-O32)/O32</f>
        <v>4.7885298142647401E-2</v>
      </c>
    </row>
    <row r="33" spans="1:17" ht="14.25" customHeight="1">
      <c r="A33" s="3" t="s">
        <v>89</v>
      </c>
      <c r="B33" s="3" t="s">
        <v>62</v>
      </c>
      <c r="C33" s="29" t="s">
        <v>90</v>
      </c>
      <c r="D33" s="3" t="s">
        <v>31</v>
      </c>
      <c r="E33" s="3" t="s">
        <v>17</v>
      </c>
      <c r="F33" s="12">
        <v>8941</v>
      </c>
      <c r="G33" s="12">
        <v>911</v>
      </c>
      <c r="H33" s="12">
        <v>166</v>
      </c>
      <c r="I33" s="12">
        <v>1217</v>
      </c>
      <c r="J33" s="13">
        <v>68817</v>
      </c>
      <c r="K33" s="12">
        <v>221180</v>
      </c>
      <c r="L33" s="3" t="s">
        <v>18</v>
      </c>
      <c r="M33" s="30">
        <f>(F33 + G33 + H33 ) / K33</f>
        <v>4.5293426168731353E-2</v>
      </c>
      <c r="N33" t="str">
        <f>IF(AND(C33&gt;=$T$2,C33&lt;=$U$2),"During","Before")</f>
        <v>Before</v>
      </c>
      <c r="O33" s="30">
        <f ca="1">AVERAGEIF($N$2:$N$301,"Before",M33)</f>
        <v>0.1312719658766745</v>
      </c>
      <c r="P33" s="30">
        <f ca="1">AVERAGEIF($N$2:$N$301,"During",M33)</f>
        <v>0.13925841435542693</v>
      </c>
      <c r="Q33" s="30">
        <f ca="1">(P33-O33)/O33</f>
        <v>6.0838949317293133E-2</v>
      </c>
    </row>
    <row r="34" spans="1:17" ht="14.25" customHeight="1">
      <c r="A34" s="3" t="s">
        <v>91</v>
      </c>
      <c r="B34" s="3" t="s">
        <v>20</v>
      </c>
      <c r="C34" s="29">
        <v>45924</v>
      </c>
      <c r="D34" s="3" t="s">
        <v>35</v>
      </c>
      <c r="E34" s="3" t="s">
        <v>67</v>
      </c>
      <c r="F34" s="12">
        <v>3342</v>
      </c>
      <c r="G34" s="12">
        <v>787</v>
      </c>
      <c r="H34" s="12">
        <v>375</v>
      </c>
      <c r="I34" s="12">
        <v>907</v>
      </c>
      <c r="J34" s="13">
        <v>85823</v>
      </c>
      <c r="K34" s="12">
        <v>99189</v>
      </c>
      <c r="L34" s="3" t="s">
        <v>37</v>
      </c>
      <c r="M34" s="30">
        <f>(F34 + G34 + H34 ) / K34</f>
        <v>4.5408260996683103E-2</v>
      </c>
      <c r="N34" t="str">
        <f>IF(AND(C34&gt;=$T$6,C34&lt;=$U$6),"During","Before")</f>
        <v>During</v>
      </c>
      <c r="O34" s="30">
        <f ca="1">AVERAGEIF($N$2:$N$301,"Before",M34)</f>
        <v>0.13118614172871429</v>
      </c>
      <c r="P34" s="30">
        <f ca="1">AVERAGEIF($N$2:$N$301,"During",M34)</f>
        <v>0.1409889137301549</v>
      </c>
      <c r="Q34" s="30">
        <f ca="1">(P34-O34)/O34</f>
        <v>7.4724142903083504E-2</v>
      </c>
    </row>
    <row r="35" spans="1:17" ht="14.25" customHeight="1">
      <c r="A35" s="3" t="s">
        <v>92</v>
      </c>
      <c r="B35" s="3" t="s">
        <v>62</v>
      </c>
      <c r="C35" s="29" t="s">
        <v>93</v>
      </c>
      <c r="D35" s="3" t="s">
        <v>16</v>
      </c>
      <c r="E35" s="3" t="s">
        <v>46</v>
      </c>
      <c r="F35" s="12">
        <v>8988</v>
      </c>
      <c r="G35" s="12">
        <v>228</v>
      </c>
      <c r="H35" s="12">
        <v>766</v>
      </c>
      <c r="I35" s="12">
        <v>652</v>
      </c>
      <c r="J35" s="13">
        <v>63789</v>
      </c>
      <c r="K35" s="12">
        <v>219785</v>
      </c>
      <c r="L35" s="3" t="s">
        <v>28</v>
      </c>
      <c r="M35" s="30">
        <f>(F35 + G35 + H35 ) / K35</f>
        <v>4.541711217781013E-2</v>
      </c>
      <c r="N35" t="str">
        <f>IF(AND(C35&gt;=$T$4,C35&lt;=$U$4),"During","Before")</f>
        <v>Before</v>
      </c>
      <c r="O35" s="30">
        <f ca="1">AVERAGEIF($N$2:$N$301,"Before",M35)</f>
        <v>0.13119913617468351</v>
      </c>
      <c r="P35" s="30">
        <f ca="1">AVERAGEIF($N$2:$N$301,"During",M35)</f>
        <v>0.14237371423709491</v>
      </c>
      <c r="Q35" s="30">
        <f ca="1">(P35-O35)/O35</f>
        <v>8.5172649669988235E-2</v>
      </c>
    </row>
    <row r="36" spans="1:17" ht="14.25" customHeight="1">
      <c r="A36" s="3" t="s">
        <v>94</v>
      </c>
      <c r="B36" s="3" t="s">
        <v>14</v>
      </c>
      <c r="C36" s="29" t="s">
        <v>21</v>
      </c>
      <c r="D36" s="3" t="s">
        <v>16</v>
      </c>
      <c r="E36" s="3" t="s">
        <v>36</v>
      </c>
      <c r="F36" s="12">
        <v>8376</v>
      </c>
      <c r="G36" s="12">
        <v>1154</v>
      </c>
      <c r="H36" s="12">
        <v>422</v>
      </c>
      <c r="I36" s="12">
        <v>1907</v>
      </c>
      <c r="J36" s="13">
        <v>36874</v>
      </c>
      <c r="K36" s="12">
        <v>218486</v>
      </c>
      <c r="L36" s="3" t="s">
        <v>28</v>
      </c>
      <c r="M36" s="30">
        <f>(F36 + G36 + H36 ) / K36</f>
        <v>4.5549829279679245E-2</v>
      </c>
      <c r="N36" t="str">
        <f>IF(AND(C36&gt;=$T$4,C36&lt;=$U$4),"During","Before")</f>
        <v>Before</v>
      </c>
      <c r="O36" s="30">
        <f ca="1">AVERAGEIF($N$2:$N$301,"Before",M36)</f>
        <v>0.13275187758659618</v>
      </c>
      <c r="P36" s="30">
        <f ca="1">AVERAGEIF($N$2:$N$301,"During",M36)</f>
        <v>0.13856929270816884</v>
      </c>
      <c r="Q36" s="30">
        <f ca="1">(P36-O36)/O36</f>
        <v>4.3821716327724768E-2</v>
      </c>
    </row>
    <row r="37" spans="1:17" ht="14.25" customHeight="1">
      <c r="A37" s="3" t="s">
        <v>95</v>
      </c>
      <c r="B37" s="3" t="s">
        <v>44</v>
      </c>
      <c r="C37" s="29" t="s">
        <v>96</v>
      </c>
      <c r="D37" s="3" t="s">
        <v>16</v>
      </c>
      <c r="E37" s="3" t="s">
        <v>60</v>
      </c>
      <c r="F37" s="12">
        <v>5419</v>
      </c>
      <c r="G37" s="12">
        <v>1150</v>
      </c>
      <c r="H37" s="12">
        <v>656</v>
      </c>
      <c r="I37" s="12">
        <v>1990</v>
      </c>
      <c r="J37" s="13">
        <v>410</v>
      </c>
      <c r="K37" s="12">
        <v>158154</v>
      </c>
      <c r="L37" s="3" t="s">
        <v>28</v>
      </c>
      <c r="M37" s="30">
        <f>(F37 + G37 + H37 ) / K37</f>
        <v>4.5683321319726342E-2</v>
      </c>
      <c r="N37" t="str">
        <f>IF(AND(C37&gt;=$T$4,C37&lt;=$U$4),"During","Before")</f>
        <v>Before</v>
      </c>
      <c r="O37" s="30">
        <f ca="1">AVERAGEIF($N$2:$N$301,"Before",M37)</f>
        <v>0.13263513236430916</v>
      </c>
      <c r="P37" s="30">
        <f ca="1">AVERAGEIF($N$2:$N$301,"During",M37)</f>
        <v>0.14045491243864414</v>
      </c>
      <c r="Q37" s="30">
        <f ca="1">(P37-O37)/O37</f>
        <v>5.8957079734020826E-2</v>
      </c>
    </row>
    <row r="38" spans="1:17" ht="14.25" customHeight="1">
      <c r="A38" s="3" t="s">
        <v>97</v>
      </c>
      <c r="B38" s="3" t="s">
        <v>44</v>
      </c>
      <c r="C38" s="29" t="s">
        <v>98</v>
      </c>
      <c r="D38" s="3" t="s">
        <v>16</v>
      </c>
      <c r="E38" s="3" t="s">
        <v>46</v>
      </c>
      <c r="F38" s="12">
        <v>4193</v>
      </c>
      <c r="G38" s="12">
        <v>924</v>
      </c>
      <c r="H38" s="12">
        <v>707</v>
      </c>
      <c r="I38" s="12">
        <v>2696</v>
      </c>
      <c r="J38" s="13">
        <v>23275</v>
      </c>
      <c r="K38" s="12">
        <v>126652</v>
      </c>
      <c r="L38" s="3" t="s">
        <v>24</v>
      </c>
      <c r="M38" s="30">
        <f>(F38 + G38 + H38 ) / K38</f>
        <v>4.5984271863057827E-2</v>
      </c>
      <c r="N38" t="str">
        <f>IF(AND(C38&gt;=$T$3,C38&lt;=$U$3),"During","Before")</f>
        <v>Before</v>
      </c>
      <c r="O38" s="30">
        <f ca="1">AVERAGEIF($N$2:$N$301,"Before",M38)</f>
        <v>0.13247417460987815</v>
      </c>
      <c r="P38" s="30">
        <f ca="1">AVERAGEIF($N$2:$N$301,"During",M38)</f>
        <v>0.14248793194208381</v>
      </c>
      <c r="Q38" s="30">
        <f ca="1">(P38-O38)/O38</f>
        <v>7.5590260227663811E-2</v>
      </c>
    </row>
    <row r="39" spans="1:17" ht="14.25" customHeight="1">
      <c r="A39" s="3" t="s">
        <v>99</v>
      </c>
      <c r="B39" s="3" t="s">
        <v>14</v>
      </c>
      <c r="C39" s="29" t="s">
        <v>100</v>
      </c>
      <c r="D39" s="3" t="s">
        <v>16</v>
      </c>
      <c r="E39" s="3" t="s">
        <v>36</v>
      </c>
      <c r="F39" s="12">
        <v>10472</v>
      </c>
      <c r="G39" s="12">
        <v>401</v>
      </c>
      <c r="H39" s="12">
        <v>668</v>
      </c>
      <c r="I39" s="12">
        <v>383</v>
      </c>
      <c r="J39" s="13">
        <v>37571</v>
      </c>
      <c r="K39" s="12">
        <v>249203</v>
      </c>
      <c r="L39" s="3" t="s">
        <v>28</v>
      </c>
      <c r="M39" s="30">
        <f>(F39 + G39 + H39 ) / K39</f>
        <v>4.6311641513143903E-2</v>
      </c>
      <c r="N39" t="str">
        <f>IF(AND(C39&gt;=$T$4,C39&lt;=$U$4),"During","Before")</f>
        <v>Before</v>
      </c>
      <c r="O39" s="30">
        <f ca="1">AVERAGEIF($N$2:$N$301,"Before",M39)</f>
        <v>0.13233641047848022</v>
      </c>
      <c r="P39" s="30">
        <f ca="1">AVERAGEIF($N$2:$N$301,"During",M39)</f>
        <v>0.14443019949381264</v>
      </c>
      <c r="Q39" s="30">
        <f ca="1">(P39-O39)/O39</f>
        <v>9.1386708855149476E-2</v>
      </c>
    </row>
    <row r="40" spans="1:17" ht="14.25" customHeight="1">
      <c r="A40" s="3" t="s">
        <v>101</v>
      </c>
      <c r="B40" s="3" t="s">
        <v>20</v>
      </c>
      <c r="C40" s="29" t="s">
        <v>102</v>
      </c>
      <c r="D40" s="3" t="s">
        <v>35</v>
      </c>
      <c r="E40" s="3" t="s">
        <v>103</v>
      </c>
      <c r="F40" s="12">
        <v>6363</v>
      </c>
      <c r="G40" s="12">
        <v>1341</v>
      </c>
      <c r="H40" s="12">
        <v>222</v>
      </c>
      <c r="I40" s="12">
        <v>2712</v>
      </c>
      <c r="J40" s="13">
        <v>19987</v>
      </c>
      <c r="K40" s="12">
        <v>160585</v>
      </c>
      <c r="L40" s="3" t="s">
        <v>28</v>
      </c>
      <c r="M40" s="30">
        <f>(F40 + G40 + H40 ) / K40</f>
        <v>4.9357038328611019E-2</v>
      </c>
      <c r="N40" t="str">
        <f>IF(AND(C40&gt;=$T$4,C40&lt;=$U$4),"During","Before")</f>
        <v>Before</v>
      </c>
      <c r="O40" s="30">
        <f ca="1">AVERAGEIF($N$2:$N$301,"Before",M40)</f>
        <v>0.13205658529066239</v>
      </c>
      <c r="P40" s="30">
        <f ca="1">AVERAGEIF($N$2:$N$301,"During",M40)</f>
        <v>0.1468510347835135</v>
      </c>
      <c r="Q40" s="30">
        <f ca="1">(P40-O40)/O40</f>
        <v>0.11203113771485057</v>
      </c>
    </row>
    <row r="41" spans="1:17" ht="14.25" customHeight="1">
      <c r="A41" s="3" t="s">
        <v>104</v>
      </c>
      <c r="B41" s="3" t="s">
        <v>14</v>
      </c>
      <c r="C41" s="29" t="s">
        <v>105</v>
      </c>
      <c r="D41" s="3" t="s">
        <v>31</v>
      </c>
      <c r="E41" s="3" t="s">
        <v>103</v>
      </c>
      <c r="F41" s="12">
        <v>10717</v>
      </c>
      <c r="G41" s="12">
        <v>760</v>
      </c>
      <c r="H41" s="12">
        <v>460</v>
      </c>
      <c r="I41" s="12">
        <v>1316</v>
      </c>
      <c r="J41" s="13">
        <v>18164</v>
      </c>
      <c r="K41" s="12">
        <v>240641</v>
      </c>
      <c r="L41" s="3" t="s">
        <v>18</v>
      </c>
      <c r="M41" s="30">
        <f>(F41 + G41 + H41 ) / K41</f>
        <v>4.9605013277039242E-2</v>
      </c>
      <c r="N41" t="str">
        <f>IF(AND(C41&gt;=$T$2,C41&lt;=$U$2),"During","Before")</f>
        <v>Before</v>
      </c>
      <c r="O41" s="30">
        <f ca="1">AVERAGEIF($N$2:$N$301,"Before",M41)</f>
        <v>0.13184926799998858</v>
      </c>
      <c r="P41" s="30">
        <f ca="1">AVERAGEIF($N$2:$N$301,"During",M41)</f>
        <v>0.14896252020178744</v>
      </c>
      <c r="Q41" s="30">
        <f ca="1">(P41-O41)/O41</f>
        <v>0.12979406303416363</v>
      </c>
    </row>
    <row r="42" spans="1:17" ht="14.25" customHeight="1">
      <c r="A42" s="3" t="s">
        <v>106</v>
      </c>
      <c r="B42" s="3" t="s">
        <v>14</v>
      </c>
      <c r="C42" s="29" t="s">
        <v>107</v>
      </c>
      <c r="D42" s="3" t="s">
        <v>16</v>
      </c>
      <c r="E42" s="3" t="s">
        <v>32</v>
      </c>
      <c r="F42" s="12">
        <v>9943</v>
      </c>
      <c r="G42" s="12">
        <v>1274</v>
      </c>
      <c r="H42" s="12">
        <v>336</v>
      </c>
      <c r="I42" s="12">
        <v>389</v>
      </c>
      <c r="J42" s="13">
        <v>6145</v>
      </c>
      <c r="K42" s="12">
        <v>231305</v>
      </c>
      <c r="L42" s="3" t="s">
        <v>33</v>
      </c>
      <c r="M42" s="30">
        <f>(F42 + G42 + H42 ) / K42</f>
        <v>4.9947039623008581E-2</v>
      </c>
      <c r="N42" s="8" t="str">
        <f>IF(AND(C42&gt;=$T$5,C42&lt;=$U$5),"During","Before")</f>
        <v>Before</v>
      </c>
      <c r="O42" s="30">
        <f ca="1">AVERAGEIF($N$2:$N$301,"Before",M42)</f>
        <v>0.13350434052379195</v>
      </c>
      <c r="P42" s="30">
        <f ca="1">AVERAGEIF($N$2:$N$301,"During",M42)</f>
        <v>0.14491136256586462</v>
      </c>
      <c r="Q42" s="30">
        <f ca="1">(P42-O42)/O42</f>
        <v>8.5443079957687296E-2</v>
      </c>
    </row>
    <row r="43" spans="1:17" ht="14.25" customHeight="1">
      <c r="A43" s="3" t="s">
        <v>108</v>
      </c>
      <c r="B43" s="3" t="s">
        <v>44</v>
      </c>
      <c r="C43" s="29" t="s">
        <v>109</v>
      </c>
      <c r="D43" s="3" t="s">
        <v>16</v>
      </c>
      <c r="E43" s="3" t="s">
        <v>103</v>
      </c>
      <c r="F43" s="12">
        <v>7560</v>
      </c>
      <c r="G43" s="12">
        <v>1139</v>
      </c>
      <c r="H43" s="12">
        <v>248</v>
      </c>
      <c r="I43" s="12">
        <v>1624</v>
      </c>
      <c r="J43" s="13">
        <v>72237</v>
      </c>
      <c r="K43" s="12">
        <v>177084</v>
      </c>
      <c r="L43" s="3" t="s">
        <v>28</v>
      </c>
      <c r="M43" s="30">
        <f>(F43 + G43 + H43 ) / K43</f>
        <v>5.0524045085947912E-2</v>
      </c>
      <c r="N43" t="str">
        <f>IF(AND(C43&gt;=$T$4,C43&lt;=$U$4),"During","Before")</f>
        <v>Before</v>
      </c>
      <c r="O43" s="30">
        <f ca="1">AVERAGEIF($N$2:$N$301,"Before",M43)</f>
        <v>0.13528943173575364</v>
      </c>
      <c r="P43" s="30">
        <f ca="1">AVERAGEIF($N$2:$N$301,"During",M43)</f>
        <v>0.14025129060317312</v>
      </c>
      <c r="Q43" s="30">
        <f ca="1">(P43-O43)/O43</f>
        <v>3.6675879289011656E-2</v>
      </c>
    </row>
    <row r="44" spans="1:17" ht="14.25" customHeight="1">
      <c r="A44" s="3" t="s">
        <v>110</v>
      </c>
      <c r="B44" s="3" t="s">
        <v>20</v>
      </c>
      <c r="C44" s="29" t="s">
        <v>111</v>
      </c>
      <c r="D44" s="3" t="s">
        <v>16</v>
      </c>
      <c r="E44" s="3" t="s">
        <v>40</v>
      </c>
      <c r="F44" s="12">
        <v>3062</v>
      </c>
      <c r="G44" s="12">
        <v>1124</v>
      </c>
      <c r="H44" s="12">
        <v>538</v>
      </c>
      <c r="I44" s="12">
        <v>2935</v>
      </c>
      <c r="J44" s="13">
        <v>69749</v>
      </c>
      <c r="K44" s="12">
        <v>91924</v>
      </c>
      <c r="L44" s="3" t="s">
        <v>24</v>
      </c>
      <c r="M44" s="30">
        <f>(F44 + G44 + H44 ) / K44</f>
        <v>5.1390278926069365E-2</v>
      </c>
      <c r="N44" t="str">
        <f>IF(AND(C44&gt;=$T$3,C44&lt;=$U$3),"During","Before")</f>
        <v>Before</v>
      </c>
      <c r="O44" s="30">
        <f ca="1">AVERAGEIF($N$2:$N$301,"Before",M44)</f>
        <v>0.1370048316149434</v>
      </c>
      <c r="P44" s="30">
        <f ca="1">AVERAGEIF($N$2:$N$301,"During",M44)</f>
        <v>0.13566587042318914</v>
      </c>
      <c r="Q44" s="30">
        <f ca="1">(P44-O44)/O44</f>
        <v>-9.7730946855760937E-3</v>
      </c>
    </row>
    <row r="45" spans="1:17" ht="14.25" customHeight="1">
      <c r="A45" s="3" t="s">
        <v>112</v>
      </c>
      <c r="B45" s="3" t="s">
        <v>44</v>
      </c>
      <c r="C45" s="29">
        <v>45715</v>
      </c>
      <c r="D45" s="3" t="s">
        <v>31</v>
      </c>
      <c r="E45" s="3" t="s">
        <v>32</v>
      </c>
      <c r="F45" s="12">
        <v>8970</v>
      </c>
      <c r="G45" s="12">
        <v>331</v>
      </c>
      <c r="H45" s="12">
        <v>968</v>
      </c>
      <c r="I45" s="12">
        <v>2296</v>
      </c>
      <c r="J45" s="13">
        <v>24613</v>
      </c>
      <c r="K45" s="12">
        <v>198562</v>
      </c>
      <c r="L45" s="3" t="s">
        <v>24</v>
      </c>
      <c r="M45" s="30">
        <f>(F45 + G45 + H45 ) / K45</f>
        <v>5.1716844109144754E-2</v>
      </c>
      <c r="N45" t="str">
        <f>IF(AND(C45&gt;=$T$3,C45&lt;=$U$3),"During","Before")</f>
        <v>Before</v>
      </c>
      <c r="O45" s="30">
        <f ca="1">AVERAGEIF($N$2:$N$301,"Before",M45)</f>
        <v>0.13704024216296307</v>
      </c>
      <c r="P45" s="30">
        <f ca="1">AVERAGEIF($N$2:$N$301,"During",M45)</f>
        <v>0.13706760314706265</v>
      </c>
      <c r="Q45" s="30">
        <f ca="1">(P45-O45)/O45</f>
        <v>1.9965656560243819E-4</v>
      </c>
    </row>
    <row r="46" spans="1:17" ht="14.25" customHeight="1">
      <c r="A46" s="3" t="s">
        <v>113</v>
      </c>
      <c r="B46" s="3" t="s">
        <v>44</v>
      </c>
      <c r="C46" s="29" t="s">
        <v>114</v>
      </c>
      <c r="D46" s="3" t="s">
        <v>31</v>
      </c>
      <c r="E46" s="3" t="s">
        <v>23</v>
      </c>
      <c r="F46" s="12">
        <v>2384</v>
      </c>
      <c r="G46" s="12">
        <v>1246</v>
      </c>
      <c r="H46" s="12">
        <v>160</v>
      </c>
      <c r="I46" s="12">
        <v>2004</v>
      </c>
      <c r="J46" s="13">
        <v>2701</v>
      </c>
      <c r="K46" s="12">
        <v>73142</v>
      </c>
      <c r="L46" s="3" t="s">
        <v>33</v>
      </c>
      <c r="M46" s="30">
        <f>(F46 + G46 + H46 ) / K46</f>
        <v>5.1817013480626728E-2</v>
      </c>
      <c r="N46" s="8" t="str">
        <f>IF(AND(C46&gt;=$T$5,C46&lt;=$U$5),"During","Before")</f>
        <v>Before</v>
      </c>
      <c r="O46" s="30">
        <f ca="1">AVERAGEIF($N$2:$N$301,"Before",M46)</f>
        <v>0.13702583370669782</v>
      </c>
      <c r="P46" s="30">
        <f ca="1">AVERAGEIF($N$2:$N$301,"During",M46)</f>
        <v>0.13864269402754248</v>
      </c>
      <c r="Q46" s="30">
        <f ca="1">(P46-O46)/O46</f>
        <v>1.1799675120426741E-2</v>
      </c>
    </row>
    <row r="47" spans="1:17" ht="14.25" customHeight="1">
      <c r="A47" s="3" t="s">
        <v>115</v>
      </c>
      <c r="B47" s="3" t="s">
        <v>20</v>
      </c>
      <c r="C47" s="29" t="s">
        <v>116</v>
      </c>
      <c r="D47" s="3" t="s">
        <v>16</v>
      </c>
      <c r="E47" s="3" t="s">
        <v>36</v>
      </c>
      <c r="F47" s="12">
        <v>6804</v>
      </c>
      <c r="G47" s="12">
        <v>787</v>
      </c>
      <c r="H47" s="12">
        <v>970</v>
      </c>
      <c r="I47" s="12">
        <v>1095</v>
      </c>
      <c r="J47" s="13">
        <v>23275</v>
      </c>
      <c r="K47" s="12">
        <v>164677</v>
      </c>
      <c r="L47" s="3" t="s">
        <v>33</v>
      </c>
      <c r="M47" s="30">
        <f>(F47 + G47 + H47 ) / K47</f>
        <v>5.1986616224487935E-2</v>
      </c>
      <c r="N47" s="8" t="str">
        <f>IF(AND(C47&gt;=$T$5,C47&lt;=$U$5),"During","Before")</f>
        <v>Before</v>
      </c>
      <c r="O47" s="30">
        <f ca="1">AVERAGEIF($N$2:$N$301,"Before",M47)</f>
        <v>0.13693050445109567</v>
      </c>
      <c r="P47" s="30">
        <f ca="1">AVERAGEIF($N$2:$N$301,"During",M47)</f>
        <v>0.1405030394220228</v>
      </c>
      <c r="Q47" s="30">
        <f ca="1">(P47-O47)/O47</f>
        <v>2.6090132255395679E-2</v>
      </c>
    </row>
    <row r="48" spans="1:17" ht="14.25" customHeight="1">
      <c r="A48" s="3" t="s">
        <v>117</v>
      </c>
      <c r="B48" s="3" t="s">
        <v>20</v>
      </c>
      <c r="C48" s="29" t="s">
        <v>118</v>
      </c>
      <c r="D48" s="3" t="s">
        <v>35</v>
      </c>
      <c r="E48" s="3" t="s">
        <v>51</v>
      </c>
      <c r="F48" s="12">
        <v>8469</v>
      </c>
      <c r="G48" s="12">
        <v>935</v>
      </c>
      <c r="H48" s="12">
        <v>211</v>
      </c>
      <c r="I48" s="12">
        <v>2635</v>
      </c>
      <c r="J48" s="13">
        <v>21890</v>
      </c>
      <c r="K48" s="12">
        <v>184539</v>
      </c>
      <c r="L48" s="3" t="s">
        <v>18</v>
      </c>
      <c r="M48" s="30">
        <f>(F48 + G48 + H48 ) / K48</f>
        <v>5.2102807536618279E-2</v>
      </c>
      <c r="N48" t="str">
        <f>IF(AND(C48&gt;=$T$2,C48&lt;=$U$2),"During","Before")</f>
        <v>Before</v>
      </c>
      <c r="O48" s="30">
        <f ca="1">AVERAGEIF($N$2:$N$301,"Before",M48)</f>
        <v>0.1368344532299664</v>
      </c>
      <c r="P48" s="30">
        <f ca="1">AVERAGEIF($N$2:$N$301,"During",M48)</f>
        <v>0.14235950424363369</v>
      </c>
      <c r="Q48" s="30">
        <f ca="1">(P48-O48)/O48</f>
        <v>4.0377630656964689E-2</v>
      </c>
    </row>
    <row r="49" spans="1:17" ht="14.25" customHeight="1">
      <c r="A49" s="3" t="s">
        <v>119</v>
      </c>
      <c r="B49" s="3" t="s">
        <v>20</v>
      </c>
      <c r="C49" s="29" t="s">
        <v>120</v>
      </c>
      <c r="D49" s="3" t="s">
        <v>35</v>
      </c>
      <c r="E49" s="3" t="s">
        <v>36</v>
      </c>
      <c r="F49" s="12">
        <v>2009</v>
      </c>
      <c r="G49" s="12">
        <v>1072</v>
      </c>
      <c r="H49" s="12">
        <v>550</v>
      </c>
      <c r="I49" s="12">
        <v>1437</v>
      </c>
      <c r="J49" s="13">
        <v>23275</v>
      </c>
      <c r="K49" s="12">
        <v>69426</v>
      </c>
      <c r="L49" s="3" t="s">
        <v>24</v>
      </c>
      <c r="M49" s="30">
        <f>(F49 + G49 + H49 ) / K49</f>
        <v>5.2300290957278256E-2</v>
      </c>
      <c r="N49" t="str">
        <f>IF(AND(C49&gt;=$T$3,C49&lt;=$U$3),"During","Before")</f>
        <v>Before</v>
      </c>
      <c r="O49" s="30">
        <f ca="1">AVERAGEIF($N$2:$N$301,"Before",M49)</f>
        <v>0.13679402017339182</v>
      </c>
      <c r="P49" s="30">
        <f ca="1">AVERAGEIF($N$2:$N$301,"During",M49)</f>
        <v>0.14401480706217909</v>
      </c>
      <c r="Q49" s="30">
        <f ca="1">(P49-O49)/O49</f>
        <v>5.2785837272964424E-2</v>
      </c>
    </row>
    <row r="50" spans="1:17" ht="14.25" customHeight="1">
      <c r="A50" s="3" t="s">
        <v>121</v>
      </c>
      <c r="B50" s="3" t="s">
        <v>14</v>
      </c>
      <c r="C50" s="29" t="s">
        <v>122</v>
      </c>
      <c r="D50" s="3" t="s">
        <v>16</v>
      </c>
      <c r="E50" s="3" t="s">
        <v>40</v>
      </c>
      <c r="F50" s="12">
        <v>10702</v>
      </c>
      <c r="G50" s="12">
        <v>621</v>
      </c>
      <c r="H50" s="12">
        <v>445</v>
      </c>
      <c r="I50" s="12">
        <v>2918</v>
      </c>
      <c r="J50" s="13">
        <v>54808</v>
      </c>
      <c r="K50" s="12">
        <v>220225</v>
      </c>
      <c r="L50" s="3" t="s">
        <v>33</v>
      </c>
      <c r="M50" s="30">
        <f>(F50 + G50 + H50 ) / K50</f>
        <v>5.3436258372119426E-2</v>
      </c>
      <c r="N50" s="8" t="str">
        <f>IF(AND(C50&gt;=$T$5,C50&lt;=$U$5),"During","Before")</f>
        <v>Before</v>
      </c>
      <c r="O50" s="30">
        <f ca="1">AVERAGEIF($N$2:$N$301,"Before",M50)</f>
        <v>0.1385978907258755</v>
      </c>
      <c r="P50" s="30">
        <f ca="1">AVERAGEIF($N$2:$N$301,"During",M50)</f>
        <v>0.1392212073760993</v>
      </c>
      <c r="Q50" s="30">
        <f ca="1">(P50-O50)/O50</f>
        <v>4.4973025704743586E-3</v>
      </c>
    </row>
    <row r="51" spans="1:17" ht="14.25" customHeight="1">
      <c r="A51" s="3" t="s">
        <v>123</v>
      </c>
      <c r="B51" s="3" t="s">
        <v>62</v>
      </c>
      <c r="C51" s="29" t="s">
        <v>124</v>
      </c>
      <c r="D51" s="3" t="s">
        <v>16</v>
      </c>
      <c r="E51" s="3" t="s">
        <v>67</v>
      </c>
      <c r="F51" s="12">
        <v>11550</v>
      </c>
      <c r="G51" s="12">
        <v>501</v>
      </c>
      <c r="H51" s="12">
        <v>646</v>
      </c>
      <c r="I51" s="12">
        <v>773</v>
      </c>
      <c r="J51" s="13">
        <v>17841</v>
      </c>
      <c r="K51" s="12">
        <v>237576</v>
      </c>
      <c r="L51" s="3" t="s">
        <v>24</v>
      </c>
      <c r="M51" s="30">
        <f>(F51 + G51 + H51 ) / K51</f>
        <v>5.3443950567397383E-2</v>
      </c>
      <c r="N51" t="str">
        <f>IF(AND(C51&gt;=$T$3,C51&lt;=$U$3),"During","Before")</f>
        <v>Before</v>
      </c>
      <c r="O51" s="30">
        <f ca="1">AVERAGEIF($N$2:$N$301,"Before",M51)</f>
        <v>0.13867573037134956</v>
      </c>
      <c r="P51" s="30">
        <f ca="1">AVERAGEIF($N$2:$N$301,"During",M51)</f>
        <v>0.14049220850047822</v>
      </c>
      <c r="Q51" s="30">
        <f ca="1">(P51-O51)/O51</f>
        <v>1.3098745716099341E-2</v>
      </c>
    </row>
    <row r="52" spans="1:17" ht="14.25" customHeight="1">
      <c r="A52" s="3" t="s">
        <v>125</v>
      </c>
      <c r="B52" s="3" t="s">
        <v>62</v>
      </c>
      <c r="C52" s="29" t="s">
        <v>126</v>
      </c>
      <c r="D52" s="3" t="s">
        <v>35</v>
      </c>
      <c r="E52" s="3" t="s">
        <v>60</v>
      </c>
      <c r="F52" s="12">
        <v>7750</v>
      </c>
      <c r="G52" s="12">
        <v>1146</v>
      </c>
      <c r="H52" s="12">
        <v>415</v>
      </c>
      <c r="I52" s="12">
        <v>1411</v>
      </c>
      <c r="J52" s="13">
        <v>85339</v>
      </c>
      <c r="K52" s="12">
        <v>172439</v>
      </c>
      <c r="L52" s="3" t="s">
        <v>28</v>
      </c>
      <c r="M52" s="30">
        <f>(F52 + G52 + H52 ) / K52</f>
        <v>5.3995905798572247E-2</v>
      </c>
      <c r="N52" t="str">
        <f>IF(AND(C52&gt;=$T$4,C52&lt;=$U$4),"During","Before")</f>
        <v>Before</v>
      </c>
      <c r="O52" s="30">
        <f ca="1">AVERAGEIF($N$2:$N$301,"Before",M52)</f>
        <v>0.13878250870644465</v>
      </c>
      <c r="P52" s="30">
        <f ca="1">AVERAGEIF($N$2:$N$301,"During",M52)</f>
        <v>0.14166329949066742</v>
      </c>
      <c r="Q52" s="30">
        <f ca="1">(P52-O52)/O52</f>
        <v>2.0757592661163567E-2</v>
      </c>
    </row>
    <row r="53" spans="1:17" ht="14.25" customHeight="1">
      <c r="A53" s="3" t="s">
        <v>127</v>
      </c>
      <c r="B53" s="3" t="s">
        <v>14</v>
      </c>
      <c r="C53" s="29">
        <v>45929</v>
      </c>
      <c r="D53" s="3" t="s">
        <v>22</v>
      </c>
      <c r="E53" s="3" t="s">
        <v>40</v>
      </c>
      <c r="F53" s="12">
        <v>7569</v>
      </c>
      <c r="G53" s="12">
        <v>803</v>
      </c>
      <c r="H53" s="12">
        <v>804</v>
      </c>
      <c r="I53" s="12">
        <v>1753</v>
      </c>
      <c r="J53" s="13">
        <v>43582</v>
      </c>
      <c r="K53" s="12">
        <v>166945</v>
      </c>
      <c r="L53" s="3" t="s">
        <v>37</v>
      </c>
      <c r="M53" s="30">
        <f>(F53 + G53 + H53 ) / K53</f>
        <v>5.4964209769684629E-2</v>
      </c>
      <c r="N53" t="str">
        <f>IF(AND(C53&gt;=$T$6,C53&lt;=$U$6),"During","Before")</f>
        <v>During</v>
      </c>
      <c r="O53" s="30">
        <f ca="1">AVERAGEIF($N$2:$N$301,"Before",M53)</f>
        <v>0.13878713704322299</v>
      </c>
      <c r="P53" s="30">
        <f ca="1">AVERAGEIF($N$2:$N$301,"During",M53)</f>
        <v>0.1431885486829016</v>
      </c>
      <c r="Q53" s="30">
        <f ca="1">(P53-O53)/O53</f>
        <v>3.1713397462099543E-2</v>
      </c>
    </row>
    <row r="54" spans="1:17" ht="14.25" customHeight="1">
      <c r="A54" s="3" t="s">
        <v>128</v>
      </c>
      <c r="B54" s="3" t="s">
        <v>44</v>
      </c>
      <c r="C54" s="29" t="s">
        <v>129</v>
      </c>
      <c r="D54" s="3" t="s">
        <v>31</v>
      </c>
      <c r="E54" s="3" t="s">
        <v>17</v>
      </c>
      <c r="F54" s="12">
        <v>9041</v>
      </c>
      <c r="G54" s="12">
        <v>1133</v>
      </c>
      <c r="H54" s="12">
        <v>612</v>
      </c>
      <c r="I54" s="12">
        <v>1687</v>
      </c>
      <c r="J54" s="13">
        <v>28102</v>
      </c>
      <c r="K54" s="12">
        <v>195683</v>
      </c>
      <c r="L54" s="3" t="s">
        <v>24</v>
      </c>
      <c r="M54" s="30">
        <f>(F54 + G54 + H54 ) / K54</f>
        <v>5.5119760020032396E-2</v>
      </c>
      <c r="N54" t="str">
        <f>IF(AND(C54&gt;=$T$3,C54&lt;=$U$3),"During","Before")</f>
        <v>Before</v>
      </c>
      <c r="O54" s="30">
        <f ca="1">AVERAGEIF($N$2:$N$301,"Before",M54)</f>
        <v>0.13868981306242442</v>
      </c>
      <c r="P54" s="30">
        <f ca="1">AVERAGEIF($N$2:$N$301,"During",M54)</f>
        <v>0.14505412060231332</v>
      </c>
      <c r="Q54" s="30">
        <f ca="1">(P54-O54)/O54</f>
        <v>4.5888788796797322E-2</v>
      </c>
    </row>
    <row r="55" spans="1:17" ht="14.25" customHeight="1">
      <c r="A55" s="3" t="s">
        <v>130</v>
      </c>
      <c r="B55" s="3" t="s">
        <v>44</v>
      </c>
      <c r="C55" s="29" t="s">
        <v>131</v>
      </c>
      <c r="D55" s="3" t="s">
        <v>22</v>
      </c>
      <c r="E55" s="3" t="s">
        <v>23</v>
      </c>
      <c r="F55" s="12">
        <v>8254</v>
      </c>
      <c r="G55" s="12">
        <v>1405</v>
      </c>
      <c r="H55" s="12">
        <v>165</v>
      </c>
      <c r="I55" s="12">
        <v>2504</v>
      </c>
      <c r="J55" s="13">
        <v>8081</v>
      </c>
      <c r="K55" s="12">
        <v>177710</v>
      </c>
      <c r="L55" s="3" t="s">
        <v>33</v>
      </c>
      <c r="M55" s="30">
        <f>(F55 + G55 + H55 ) / K55</f>
        <v>5.5281075910190762E-2</v>
      </c>
      <c r="N55" s="8" t="str">
        <f>IF(AND(C55&gt;=$T$5,C55&lt;=$U$5),"During","Before")</f>
        <v>Before</v>
      </c>
      <c r="O55" s="30">
        <f ca="1">AVERAGEIF($N$2:$N$301,"Before",M55)</f>
        <v>0.13859626395315661</v>
      </c>
      <c r="P55" s="30">
        <f ca="1">AVERAGEIF($N$2:$N$301,"During",M55)</f>
        <v>0.14690014754816466</v>
      </c>
      <c r="Q55" s="30">
        <f ca="1">(P55-O55)/O55</f>
        <v>5.991419507393532E-2</v>
      </c>
    </row>
    <row r="56" spans="1:17" ht="14.25" customHeight="1">
      <c r="A56" s="3" t="s">
        <v>132</v>
      </c>
      <c r="B56" s="3" t="s">
        <v>14</v>
      </c>
      <c r="C56" s="29" t="s">
        <v>133</v>
      </c>
      <c r="D56" s="3" t="s">
        <v>35</v>
      </c>
      <c r="E56" s="3" t="s">
        <v>46</v>
      </c>
      <c r="F56" s="12">
        <v>10580</v>
      </c>
      <c r="G56" s="12">
        <v>427</v>
      </c>
      <c r="H56" s="12">
        <v>790</v>
      </c>
      <c r="I56" s="12">
        <v>2814</v>
      </c>
      <c r="J56" s="13">
        <v>24916</v>
      </c>
      <c r="K56" s="12">
        <v>213312</v>
      </c>
      <c r="L56" s="3" t="s">
        <v>18</v>
      </c>
      <c r="M56" s="30">
        <f>(F56 + G56 + H56 ) / K56</f>
        <v>5.530396789678968E-2</v>
      </c>
      <c r="N56" t="str">
        <f>IF(AND(C56&gt;=$T$2,C56&lt;=$U$2),"During","Before")</f>
        <v>Before</v>
      </c>
      <c r="O56" s="30">
        <f ca="1">AVERAGEIF($N$2:$N$301,"Before",M56)</f>
        <v>0.13853706188389522</v>
      </c>
      <c r="P56" s="30">
        <f ca="1">AVERAGEIF($N$2:$N$301,"During",M56)</f>
        <v>0.14862056178947175</v>
      </c>
      <c r="Q56" s="30">
        <f ca="1">(P56-O56)/O56</f>
        <v>7.2785576425947879E-2</v>
      </c>
    </row>
    <row r="57" spans="1:17" ht="14.25" customHeight="1">
      <c r="A57" s="3" t="s">
        <v>134</v>
      </c>
      <c r="B57" s="3" t="s">
        <v>62</v>
      </c>
      <c r="C57" s="29">
        <v>45926</v>
      </c>
      <c r="D57" s="3" t="s">
        <v>16</v>
      </c>
      <c r="E57" s="3" t="s">
        <v>88</v>
      </c>
      <c r="F57" s="12">
        <v>9043</v>
      </c>
      <c r="G57" s="12">
        <v>1192</v>
      </c>
      <c r="H57" s="12">
        <v>810</v>
      </c>
      <c r="I57" s="12">
        <v>1550</v>
      </c>
      <c r="J57" s="13">
        <v>5221</v>
      </c>
      <c r="K57" s="12">
        <v>199476</v>
      </c>
      <c r="L57" s="3" t="s">
        <v>37</v>
      </c>
      <c r="M57" s="30">
        <f>(F57 + G57 + H57 ) / K57</f>
        <v>5.5370069582305642E-2</v>
      </c>
      <c r="N57" t="str">
        <f>IF(AND(C57&gt;=$T$6,C57&lt;=$U$6),"During","Before")</f>
        <v>During</v>
      </c>
      <c r="O57" s="30">
        <f ca="1">AVERAGEIF($N$2:$N$301,"Before",M57)</f>
        <v>0.13845789878010617</v>
      </c>
      <c r="P57" s="30">
        <f ca="1">AVERAGEIF($N$2:$N$301,"During",M57)</f>
        <v>0.15040736331141763</v>
      </c>
      <c r="Q57" s="30">
        <f ca="1">(P57-O57)/O57</f>
        <v>8.6303956918262703E-2</v>
      </c>
    </row>
    <row r="58" spans="1:17" ht="14.25" customHeight="1">
      <c r="A58" s="3" t="s">
        <v>135</v>
      </c>
      <c r="B58" s="3" t="s">
        <v>20</v>
      </c>
      <c r="C58" s="29" t="s">
        <v>136</v>
      </c>
      <c r="D58" s="3" t="s">
        <v>22</v>
      </c>
      <c r="E58" s="3" t="s">
        <v>60</v>
      </c>
      <c r="F58" s="12">
        <v>6158</v>
      </c>
      <c r="G58" s="12">
        <v>277</v>
      </c>
      <c r="H58" s="12">
        <v>512</v>
      </c>
      <c r="I58" s="12">
        <v>2189</v>
      </c>
      <c r="J58" s="13">
        <v>76881</v>
      </c>
      <c r="K58" s="12">
        <v>124878</v>
      </c>
      <c r="L58" s="3" t="s">
        <v>24</v>
      </c>
      <c r="M58" s="30">
        <f>(F58 + G58 + H58 ) / K58</f>
        <v>5.563029516808405E-2</v>
      </c>
      <c r="N58" t="str">
        <f>IF(AND(C58&gt;=$T$3,C58&lt;=$U$3),"During","Before")</f>
        <v>Before</v>
      </c>
      <c r="O58" s="30">
        <f ca="1">AVERAGEIF($N$2:$N$301,"Before",M58)</f>
        <v>0.13836825220985002</v>
      </c>
      <c r="P58" s="30">
        <f ca="1">AVERAGEIF($N$2:$N$301,"During",M58)</f>
        <v>0.15222610932916705</v>
      </c>
      <c r="Q58" s="30">
        <f ca="1">(P58-O58)/O58</f>
        <v>0.10015199945071308</v>
      </c>
    </row>
    <row r="59" spans="1:17" ht="14.25" customHeight="1">
      <c r="A59" s="3" t="s">
        <v>137</v>
      </c>
      <c r="B59" s="3" t="s">
        <v>62</v>
      </c>
      <c r="C59" s="29">
        <v>45918</v>
      </c>
      <c r="D59" s="3" t="s">
        <v>16</v>
      </c>
      <c r="E59" s="3" t="s">
        <v>17</v>
      </c>
      <c r="F59" s="12">
        <v>4048</v>
      </c>
      <c r="G59" s="12">
        <v>677</v>
      </c>
      <c r="H59" s="12">
        <v>911</v>
      </c>
      <c r="I59" s="12">
        <v>2429</v>
      </c>
      <c r="J59" s="13">
        <v>27361</v>
      </c>
      <c r="K59" s="12">
        <v>101272</v>
      </c>
      <c r="L59" s="3" t="s">
        <v>37</v>
      </c>
      <c r="M59" s="30">
        <f>(F59 + G59 + H59 ) / K59</f>
        <v>5.5652105221581483E-2</v>
      </c>
      <c r="N59" t="str">
        <f>IF(AND(C59&gt;=$T$6,C59&lt;=$U$6),"During","Before")</f>
        <v>During</v>
      </c>
      <c r="O59" s="30">
        <f ca="1">AVERAGEIF($N$2:$N$301,"Before",M59)</f>
        <v>0.13807942359039072</v>
      </c>
      <c r="P59" s="30">
        <f ca="1">AVERAGEIF($N$2:$N$301,"During",M59)</f>
        <v>0.15471770455644177</v>
      </c>
      <c r="Q59" s="30">
        <f ca="1">(P59-O59)/O59</f>
        <v>0.12049790282589902</v>
      </c>
    </row>
    <row r="60" spans="1:17" ht="14.25" customHeight="1">
      <c r="A60" s="3" t="s">
        <v>138</v>
      </c>
      <c r="B60" s="3" t="s">
        <v>62</v>
      </c>
      <c r="C60" s="29" t="s">
        <v>26</v>
      </c>
      <c r="D60" s="3" t="s">
        <v>35</v>
      </c>
      <c r="E60" s="3" t="s">
        <v>67</v>
      </c>
      <c r="F60" s="12">
        <v>11521</v>
      </c>
      <c r="G60" s="12">
        <v>1071</v>
      </c>
      <c r="H60" s="12">
        <v>762</v>
      </c>
      <c r="I60" s="12">
        <v>2539</v>
      </c>
      <c r="J60" s="13">
        <v>12701</v>
      </c>
      <c r="K60" s="12">
        <v>238350</v>
      </c>
      <c r="L60" s="3" t="s">
        <v>28</v>
      </c>
      <c r="M60" s="30">
        <f>(F60 + G60 + H60 ) / K60</f>
        <v>5.6026851269142017E-2</v>
      </c>
      <c r="N60" t="str">
        <f>IF(AND(C60&gt;=$T$4,C60&lt;=$U$4),"During","Before")</f>
        <v>Before</v>
      </c>
      <c r="O60" s="30">
        <f ca="1">AVERAGEIF($N$2:$N$301,"Before",M60)</f>
        <v>0.13782397694968584</v>
      </c>
      <c r="P60" s="30">
        <f ca="1">AVERAGEIF($N$2:$N$301,"During",M60)</f>
        <v>0.15708490165063493</v>
      </c>
      <c r="Q60" s="30">
        <f ca="1">(P60-O60)/O60</f>
        <v>0.13975017357089109</v>
      </c>
    </row>
    <row r="61" spans="1:17" ht="14.25" customHeight="1">
      <c r="A61" s="3" t="s">
        <v>139</v>
      </c>
      <c r="B61" s="3" t="s">
        <v>62</v>
      </c>
      <c r="C61" s="29" t="s">
        <v>140</v>
      </c>
      <c r="D61" s="3" t="s">
        <v>16</v>
      </c>
      <c r="E61" s="3" t="s">
        <v>46</v>
      </c>
      <c r="F61" s="12">
        <v>6637</v>
      </c>
      <c r="G61" s="12">
        <v>595</v>
      </c>
      <c r="H61" s="12">
        <v>161</v>
      </c>
      <c r="I61" s="12">
        <v>2653</v>
      </c>
      <c r="J61" s="13">
        <v>19334</v>
      </c>
      <c r="K61" s="12">
        <v>131155</v>
      </c>
      <c r="L61" s="3" t="s">
        <v>28</v>
      </c>
      <c r="M61" s="30">
        <f>(F61 + G61 + H61 ) / K61</f>
        <v>5.6368419046166747E-2</v>
      </c>
      <c r="N61" t="str">
        <f>IF(AND(C61&gt;=$T$4,C61&lt;=$U$4),"During","Before")</f>
        <v>Before</v>
      </c>
      <c r="O61" s="30">
        <f ca="1">AVERAGEIF($N$2:$N$301,"Before",M61)</f>
        <v>0.13756948544148198</v>
      </c>
      <c r="P61" s="30">
        <f ca="1">AVERAGEIF($N$2:$N$301,"During",M61)</f>
        <v>0.15943276612711613</v>
      </c>
      <c r="Q61" s="30">
        <f ca="1">(P61-O61)/O61</f>
        <v>0.15892536499261781</v>
      </c>
    </row>
    <row r="62" spans="1:17" ht="14.25" customHeight="1">
      <c r="A62" s="3" t="s">
        <v>141</v>
      </c>
      <c r="B62" s="3" t="s">
        <v>62</v>
      </c>
      <c r="C62" s="29" t="s">
        <v>142</v>
      </c>
      <c r="D62" s="3" t="s">
        <v>35</v>
      </c>
      <c r="E62" s="3" t="s">
        <v>88</v>
      </c>
      <c r="F62" s="12">
        <v>12344</v>
      </c>
      <c r="G62" s="12">
        <v>815</v>
      </c>
      <c r="H62" s="12">
        <v>298</v>
      </c>
      <c r="I62" s="12">
        <v>2439</v>
      </c>
      <c r="J62" s="13">
        <v>6259</v>
      </c>
      <c r="K62" s="12">
        <v>237133</v>
      </c>
      <c r="L62" s="3" t="s">
        <v>24</v>
      </c>
      <c r="M62" s="30">
        <f>(F62 + G62 + H62 ) / K62</f>
        <v>5.6748744375519224E-2</v>
      </c>
      <c r="N62" t="str">
        <f>IF(AND(C62&gt;=$T$3,C62&lt;=$U$3),"During","Before")</f>
        <v>Before</v>
      </c>
      <c r="O62" s="30">
        <f ca="1">AVERAGEIF($N$2:$N$301,"Before",M62)</f>
        <v>0.13923612033344901</v>
      </c>
      <c r="P62" s="30">
        <f ca="1">AVERAGEIF($N$2:$N$301,"During",M62)</f>
        <v>0.15560073385258047</v>
      </c>
      <c r="Q62" s="30">
        <f ca="1">(P62-O62)/O62</f>
        <v>0.11753138108086277</v>
      </c>
    </row>
    <row r="63" spans="1:17" ht="14.25" customHeight="1">
      <c r="A63" s="3" t="s">
        <v>143</v>
      </c>
      <c r="B63" s="3" t="s">
        <v>44</v>
      </c>
      <c r="C63" s="29" t="s">
        <v>144</v>
      </c>
      <c r="D63" s="3" t="s">
        <v>31</v>
      </c>
      <c r="E63" s="3" t="s">
        <v>103</v>
      </c>
      <c r="F63" s="12">
        <v>2666</v>
      </c>
      <c r="G63" s="12">
        <v>1136</v>
      </c>
      <c r="H63" s="12">
        <v>989</v>
      </c>
      <c r="I63" s="12">
        <v>1710</v>
      </c>
      <c r="J63" s="13">
        <v>36467</v>
      </c>
      <c r="K63" s="12">
        <v>83753</v>
      </c>
      <c r="L63" s="3" t="s">
        <v>28</v>
      </c>
      <c r="M63" s="30">
        <f>(F63 + G63 + H63 ) / K63</f>
        <v>5.7203921053574198E-2</v>
      </c>
      <c r="N63" t="str">
        <f>IF(AND(C63&gt;=$T$4,C63&lt;=$U$4),"During","Before")</f>
        <v>Before</v>
      </c>
      <c r="O63" s="30">
        <f ca="1">AVERAGEIF($N$2:$N$301,"Before",M63)</f>
        <v>0.13890485658941545</v>
      </c>
      <c r="P63" s="30">
        <f ca="1">AVERAGEIF($N$2:$N$301,"During",M63)</f>
        <v>0.15826316290080519</v>
      </c>
      <c r="Q63" s="30">
        <f ca="1">(P63-O63)/O63</f>
        <v>0.13936378314410097</v>
      </c>
    </row>
    <row r="64" spans="1:17" ht="14.25" customHeight="1">
      <c r="A64" s="3" t="s">
        <v>145</v>
      </c>
      <c r="B64" s="3" t="s">
        <v>44</v>
      </c>
      <c r="C64" s="29" t="s">
        <v>73</v>
      </c>
      <c r="D64" s="3" t="s">
        <v>31</v>
      </c>
      <c r="E64" s="3" t="s">
        <v>17</v>
      </c>
      <c r="F64" s="12">
        <v>2404</v>
      </c>
      <c r="G64" s="12">
        <v>774</v>
      </c>
      <c r="H64" s="12">
        <v>661</v>
      </c>
      <c r="I64" s="12">
        <v>662</v>
      </c>
      <c r="J64" s="13">
        <v>12676</v>
      </c>
      <c r="K64" s="12">
        <v>66916</v>
      </c>
      <c r="L64" s="3" t="s">
        <v>33</v>
      </c>
      <c r="M64" s="30">
        <f>(F64 + G64 + H64 ) / K64</f>
        <v>5.7370434574690654E-2</v>
      </c>
      <c r="N64" s="8" t="str">
        <f>IF(AND(C64&gt;=$T$5,C64&lt;=$U$5),"During","Before")</f>
        <v>Before</v>
      </c>
      <c r="O64" s="30">
        <f ca="1">AVERAGEIF($N$2:$N$301,"Before",M64)</f>
        <v>0.13855048243979112</v>
      </c>
      <c r="P64" s="30">
        <f ca="1">AVERAGEIF($N$2:$N$301,"During",M64)</f>
        <v>0.16098364029092979</v>
      </c>
      <c r="Q64" s="30">
        <f ca="1">(P64-O64)/O64</f>
        <v>0.1619132424232971</v>
      </c>
    </row>
    <row r="65" spans="1:17" ht="14.25" customHeight="1">
      <c r="A65" s="3" t="s">
        <v>146</v>
      </c>
      <c r="B65" s="3" t="s">
        <v>44</v>
      </c>
      <c r="C65" s="29" t="s">
        <v>147</v>
      </c>
      <c r="D65" s="3" t="s">
        <v>35</v>
      </c>
      <c r="E65" s="3" t="s">
        <v>46</v>
      </c>
      <c r="F65" s="12">
        <v>2009</v>
      </c>
      <c r="G65" s="12">
        <v>1037</v>
      </c>
      <c r="H65" s="12">
        <v>344</v>
      </c>
      <c r="I65" s="12">
        <v>2277</v>
      </c>
      <c r="J65" s="13">
        <v>85743</v>
      </c>
      <c r="K65" s="12">
        <v>58743</v>
      </c>
      <c r="L65" s="3" t="s">
        <v>24</v>
      </c>
      <c r="M65" s="30">
        <f>(F65 + G65 + H65 ) / K65</f>
        <v>5.7709003625963942E-2</v>
      </c>
      <c r="N65" t="str">
        <f>IF(AND(C65&gt;=$T$3,C65&lt;=$U$3),"During","Before")</f>
        <v>Before</v>
      </c>
      <c r="O65" s="30">
        <f ca="1">AVERAGEIF($N$2:$N$301,"Before",M65)</f>
        <v>0.13797842101975205</v>
      </c>
      <c r="P65" s="30">
        <f ca="1">AVERAGEIF($N$2:$N$301,"During",M65)</f>
        <v>0.16442562710078601</v>
      </c>
      <c r="Q65" s="30">
        <f ca="1">(P65-O65)/O65</f>
        <v>0.1916763932038906</v>
      </c>
    </row>
    <row r="66" spans="1:17" ht="14.25" customHeight="1">
      <c r="A66" s="3" t="s">
        <v>148</v>
      </c>
      <c r="B66" s="3" t="s">
        <v>14</v>
      </c>
      <c r="C66" s="29">
        <v>45907</v>
      </c>
      <c r="D66" s="3" t="s">
        <v>35</v>
      </c>
      <c r="E66" s="3" t="s">
        <v>60</v>
      </c>
      <c r="F66" s="12">
        <v>3015</v>
      </c>
      <c r="G66" s="12">
        <v>997</v>
      </c>
      <c r="H66" s="12">
        <v>783</v>
      </c>
      <c r="I66" s="12">
        <v>617</v>
      </c>
      <c r="J66" s="13">
        <v>23275</v>
      </c>
      <c r="K66" s="12">
        <v>82229</v>
      </c>
      <c r="L66" s="3" t="s">
        <v>37</v>
      </c>
      <c r="M66" s="30">
        <f>(F66 + G66 + H66 ) / K66</f>
        <v>5.8312760704860814E-2</v>
      </c>
      <c r="N66" t="str">
        <f>IF(AND(C66&gt;=$T$6,C66&lt;=$U$6),"During","Before")</f>
        <v>During</v>
      </c>
      <c r="O66" s="30">
        <f ca="1">AVERAGEIF($N$2:$N$301,"Before",M66)</f>
        <v>0.1375042736252434</v>
      </c>
      <c r="P66" s="30">
        <f ca="1">AVERAGEIF($N$2:$N$301,"During",M66)</f>
        <v>0.16751015012290416</v>
      </c>
      <c r="Q66" s="30">
        <f ca="1">(P66-O66)/O66</f>
        <v>0.21821777393944361</v>
      </c>
    </row>
    <row r="67" spans="1:17" ht="14.25" customHeight="1">
      <c r="A67" s="3" t="s">
        <v>149</v>
      </c>
      <c r="B67" s="3" t="s">
        <v>20</v>
      </c>
      <c r="C67" s="29" t="s">
        <v>150</v>
      </c>
      <c r="D67" s="3" t="s">
        <v>16</v>
      </c>
      <c r="E67" s="3" t="s">
        <v>103</v>
      </c>
      <c r="F67" s="12">
        <v>7997</v>
      </c>
      <c r="G67" s="12">
        <v>1238</v>
      </c>
      <c r="H67" s="12">
        <v>438</v>
      </c>
      <c r="I67" s="12">
        <v>1874</v>
      </c>
      <c r="J67" s="13">
        <v>36272</v>
      </c>
      <c r="K67" s="12">
        <v>165818</v>
      </c>
      <c r="L67" s="3" t="s">
        <v>18</v>
      </c>
      <c r="M67" s="30">
        <f>(F67 + G67 + H67 ) / K67</f>
        <v>5.8335042034037318E-2</v>
      </c>
      <c r="N67" t="str">
        <f>IF(AND(C67&gt;=$T$2,C67&lt;=$U$2),"During","Before")</f>
        <v>Before</v>
      </c>
      <c r="O67" s="30">
        <f ca="1">AVERAGEIF($N$2:$N$301,"Before",M67)</f>
        <v>0.13919312510423698</v>
      </c>
      <c r="P67" s="30">
        <f ca="1">AVERAGEIF($N$2:$N$301,"During",M67)</f>
        <v>0.16377102597651183</v>
      </c>
      <c r="Q67" s="30">
        <f ca="1">(P67-O67)/O67</f>
        <v>0.17657410058053727</v>
      </c>
    </row>
    <row r="68" spans="1:17" ht="14.25" customHeight="1">
      <c r="A68" s="3" t="s">
        <v>151</v>
      </c>
      <c r="B68" s="3" t="s">
        <v>20</v>
      </c>
      <c r="C68" s="29" t="s">
        <v>152</v>
      </c>
      <c r="D68" s="3" t="s">
        <v>16</v>
      </c>
      <c r="E68" s="3" t="s">
        <v>23</v>
      </c>
      <c r="F68" s="12">
        <v>6673</v>
      </c>
      <c r="G68" s="12">
        <v>826</v>
      </c>
      <c r="H68" s="12">
        <v>321</v>
      </c>
      <c r="I68" s="12">
        <v>577</v>
      </c>
      <c r="J68" s="13">
        <v>19262</v>
      </c>
      <c r="K68" s="12">
        <v>132324</v>
      </c>
      <c r="L68" s="3" t="s">
        <v>18</v>
      </c>
      <c r="M68" s="30">
        <f>(F68 + G68 + H68 ) / K68</f>
        <v>5.9097367068710133E-2</v>
      </c>
      <c r="N68" t="str">
        <f>IF(AND(C68&gt;=$T$2,C68&lt;=$U$2),"During","Before")</f>
        <v>Before</v>
      </c>
      <c r="O68" s="30">
        <f ca="1">AVERAGEIF($N$2:$N$301,"Before",M68)</f>
        <v>0.14080132718893054</v>
      </c>
      <c r="P68" s="30">
        <f ca="1">AVERAGEIF($N$2:$N$301,"During",M68)</f>
        <v>0.16016993375590108</v>
      </c>
      <c r="Q68" s="30">
        <f ca="1">(P68-O68)/O68</f>
        <v>0.13755982953897361</v>
      </c>
    </row>
    <row r="69" spans="1:17" ht="14.25" customHeight="1">
      <c r="A69" s="3" t="s">
        <v>153</v>
      </c>
      <c r="B69" s="3" t="s">
        <v>20</v>
      </c>
      <c r="C69" s="29" t="s">
        <v>154</v>
      </c>
      <c r="D69" s="3" t="s">
        <v>31</v>
      </c>
      <c r="E69" s="3" t="s">
        <v>32</v>
      </c>
      <c r="F69" s="12">
        <v>2055</v>
      </c>
      <c r="G69" s="12">
        <v>675</v>
      </c>
      <c r="H69" s="12">
        <v>257</v>
      </c>
      <c r="I69" s="12">
        <v>820</v>
      </c>
      <c r="J69" s="13">
        <v>33534</v>
      </c>
      <c r="K69" s="12">
        <v>48125</v>
      </c>
      <c r="L69" s="3" t="s">
        <v>33</v>
      </c>
      <c r="M69" s="30">
        <f>(F69 + G69 + H69 ) / K69</f>
        <v>6.2067532467532466E-2</v>
      </c>
      <c r="N69" s="8" t="str">
        <f>IF(AND(C69&gt;=$T$5,C69&lt;=$U$5),"During","Before")</f>
        <v>Before</v>
      </c>
      <c r="O69" s="30">
        <f ca="1">AVERAGEIF($N$2:$N$301,"Before",M69)</f>
        <v>0.14253840740297874</v>
      </c>
      <c r="P69" s="30">
        <f ca="1">AVERAGEIF($N$2:$N$301,"During",M69)</f>
        <v>0.15595275665257616</v>
      </c>
      <c r="Q69" s="30">
        <f ca="1">(P69-O69)/O69</f>
        <v>9.4110419037255838E-2</v>
      </c>
    </row>
    <row r="70" spans="1:17" ht="14.25" customHeight="1">
      <c r="A70" s="3" t="s">
        <v>155</v>
      </c>
      <c r="B70" s="3" t="s">
        <v>20</v>
      </c>
      <c r="C70" s="29" t="s">
        <v>156</v>
      </c>
      <c r="D70" s="3" t="s">
        <v>35</v>
      </c>
      <c r="E70" s="3" t="s">
        <v>36</v>
      </c>
      <c r="F70" s="12">
        <v>11333</v>
      </c>
      <c r="G70" s="12">
        <v>920</v>
      </c>
      <c r="H70" s="12">
        <v>294</v>
      </c>
      <c r="I70" s="12">
        <v>606</v>
      </c>
      <c r="J70" s="13">
        <v>59490</v>
      </c>
      <c r="K70" s="12">
        <v>202082</v>
      </c>
      <c r="L70" s="3" t="s">
        <v>28</v>
      </c>
      <c r="M70" s="30">
        <f>(F70 + G70 + H70 ) / K70</f>
        <v>6.2088657079799291E-2</v>
      </c>
      <c r="N70" t="str">
        <f>IF(AND(C70&gt;=$T$4,C70&lt;=$U$4),"During","Before")</f>
        <v>Before</v>
      </c>
      <c r="O70" s="30">
        <f ca="1">AVERAGEIF($N$2:$N$301,"Before",M70)</f>
        <v>0.14249179284724187</v>
      </c>
      <c r="P70" s="30">
        <f ca="1">AVERAGEIF($N$2:$N$301,"During",M70)</f>
        <v>0.15769605291774888</v>
      </c>
      <c r="Q70" s="30">
        <f ca="1">(P70-O70)/O70</f>
        <v>0.10670270733983059</v>
      </c>
    </row>
    <row r="71" spans="1:17" ht="14.25" customHeight="1">
      <c r="A71" s="3" t="s">
        <v>157</v>
      </c>
      <c r="B71" s="3" t="s">
        <v>62</v>
      </c>
      <c r="C71" s="29" t="s">
        <v>126</v>
      </c>
      <c r="D71" s="3" t="s">
        <v>35</v>
      </c>
      <c r="E71" s="3" t="s">
        <v>32</v>
      </c>
      <c r="F71" s="12">
        <v>12478</v>
      </c>
      <c r="G71" s="12">
        <v>484</v>
      </c>
      <c r="H71" s="12">
        <v>332</v>
      </c>
      <c r="I71" s="12">
        <v>2734</v>
      </c>
      <c r="J71" s="13">
        <v>43338</v>
      </c>
      <c r="K71" s="12">
        <v>213895</v>
      </c>
      <c r="L71" s="3" t="s">
        <v>24</v>
      </c>
      <c r="M71" s="30">
        <f>(F71 + G71 + H71 ) / K71</f>
        <v>6.2151990462610156E-2</v>
      </c>
      <c r="N71" t="str">
        <f>IF(AND(C71&gt;=$T$3,C71&lt;=$U$3),"During","Before")</f>
        <v>During</v>
      </c>
      <c r="O71" s="30">
        <f ca="1">AVERAGEIF($N$2:$N$301,"Before",M71)</f>
        <v>0.14425849272899294</v>
      </c>
      <c r="P71" s="30">
        <f ca="1">AVERAGEIF($N$2:$N$301,"During",M71)</f>
        <v>0.15321274726256914</v>
      </c>
      <c r="Q71" s="30">
        <f ca="1">(P71-O71)/O71</f>
        <v>6.2070900396816557E-2</v>
      </c>
    </row>
    <row r="72" spans="1:17" ht="14.25" customHeight="1">
      <c r="A72" s="3" t="s">
        <v>158</v>
      </c>
      <c r="B72" s="3" t="s">
        <v>20</v>
      </c>
      <c r="C72" s="29" t="s">
        <v>159</v>
      </c>
      <c r="D72" s="3" t="s">
        <v>31</v>
      </c>
      <c r="E72" s="3" t="s">
        <v>32</v>
      </c>
      <c r="F72" s="12">
        <v>8881</v>
      </c>
      <c r="G72" s="12">
        <v>210</v>
      </c>
      <c r="H72" s="12">
        <v>673</v>
      </c>
      <c r="I72" s="12">
        <v>1565</v>
      </c>
      <c r="J72" s="13">
        <v>24847</v>
      </c>
      <c r="K72" s="12">
        <v>156891</v>
      </c>
      <c r="L72" s="3" t="s">
        <v>28</v>
      </c>
      <c r="M72" s="30">
        <f>(F72 + G72 + H72 ) / K72</f>
        <v>6.223429004850501E-2</v>
      </c>
      <c r="N72" t="str">
        <f>IF(AND(C72&gt;=$T$4,C72&lt;=$U$4),"During","Before")</f>
        <v>Before</v>
      </c>
      <c r="O72" s="30">
        <f ca="1">AVERAGEIF($N$2:$N$301,"Before",M72)</f>
        <v>0.14407191917080375</v>
      </c>
      <c r="P72" s="30">
        <f ca="1">AVERAGEIF($N$2:$N$301,"During",M72)</f>
        <v>0.15552654211737774</v>
      </c>
      <c r="Q72" s="30">
        <f ca="1">(P72-O72)/O72</f>
        <v>7.9506284170435815E-2</v>
      </c>
    </row>
    <row r="73" spans="1:17" ht="14.25" customHeight="1">
      <c r="A73" s="3" t="s">
        <v>160</v>
      </c>
      <c r="B73" s="3" t="s">
        <v>62</v>
      </c>
      <c r="C73" s="29" t="s">
        <v>161</v>
      </c>
      <c r="D73" s="3" t="s">
        <v>16</v>
      </c>
      <c r="E73" s="3" t="s">
        <v>103</v>
      </c>
      <c r="F73" s="12">
        <v>7287</v>
      </c>
      <c r="G73" s="12">
        <v>1240</v>
      </c>
      <c r="H73" s="12">
        <v>686</v>
      </c>
      <c r="I73" s="12">
        <v>1255</v>
      </c>
      <c r="J73" s="13">
        <v>15403</v>
      </c>
      <c r="K73" s="12">
        <v>147971</v>
      </c>
      <c r="L73" s="3" t="s">
        <v>33</v>
      </c>
      <c r="M73" s="30">
        <f>(F73 + G73 + H73 ) / K73</f>
        <v>6.2262200025680704E-2</v>
      </c>
      <c r="N73" s="8" t="str">
        <f>IF(AND(C73&gt;=$T$5,C73&lt;=$U$5),"During","Before")</f>
        <v>Before</v>
      </c>
      <c r="O73" s="30">
        <f ca="1">AVERAGEIF($N$2:$N$301,"Before",M73)</f>
        <v>0.14373236340403886</v>
      </c>
      <c r="P73" s="30">
        <f ca="1">AVERAGEIF($N$2:$N$301,"During",M73)</f>
        <v>0.15837890434484189</v>
      </c>
      <c r="Q73" s="30">
        <f ca="1">(P73-O73)/O73</f>
        <v>0.10190148268578089</v>
      </c>
    </row>
    <row r="74" spans="1:17" ht="14.25" customHeight="1">
      <c r="A74" s="3" t="s">
        <v>162</v>
      </c>
      <c r="B74" s="3" t="s">
        <v>44</v>
      </c>
      <c r="C74" s="29" t="s">
        <v>163</v>
      </c>
      <c r="D74" s="3" t="s">
        <v>35</v>
      </c>
      <c r="E74" s="3" t="s">
        <v>103</v>
      </c>
      <c r="F74" s="12">
        <v>12160</v>
      </c>
      <c r="G74" s="12">
        <v>1405</v>
      </c>
      <c r="H74" s="12">
        <v>769</v>
      </c>
      <c r="I74" s="12">
        <v>1980</v>
      </c>
      <c r="J74" s="13">
        <v>33174</v>
      </c>
      <c r="K74" s="12">
        <v>226481</v>
      </c>
      <c r="L74" s="3" t="s">
        <v>33</v>
      </c>
      <c r="M74" s="30">
        <f>(F74 + G74 + H74 ) / K74</f>
        <v>6.329007731332871E-2</v>
      </c>
      <c r="N74" s="8" t="str">
        <f>IF(AND(C74&gt;=$T$5,C74&lt;=$U$5),"During","Before")</f>
        <v>Before</v>
      </c>
      <c r="O74" s="30">
        <f ca="1">AVERAGEIF($N$2:$N$301,"Before",M74)</f>
        <v>0.14331153917258962</v>
      </c>
      <c r="P74" s="30">
        <f ca="1">AVERAGEIF($N$2:$N$301,"During",M74)</f>
        <v>0.16150644187636856</v>
      </c>
      <c r="Q74" s="30">
        <f ca="1">(P74-O74)/O74</f>
        <v>0.12696048628622203</v>
      </c>
    </row>
    <row r="75" spans="1:17" ht="14.25" customHeight="1">
      <c r="A75" s="3" t="s">
        <v>164</v>
      </c>
      <c r="B75" s="3" t="s">
        <v>44</v>
      </c>
      <c r="C75" s="29" t="s">
        <v>165</v>
      </c>
      <c r="D75" s="3" t="s">
        <v>22</v>
      </c>
      <c r="E75" s="3" t="s">
        <v>67</v>
      </c>
      <c r="F75" s="12">
        <v>8168</v>
      </c>
      <c r="G75" s="12">
        <v>512</v>
      </c>
      <c r="H75" s="12">
        <v>442</v>
      </c>
      <c r="I75" s="12">
        <v>2343</v>
      </c>
      <c r="J75" s="13">
        <v>2753</v>
      </c>
      <c r="K75" s="12">
        <v>143896</v>
      </c>
      <c r="L75" s="3" t="s">
        <v>18</v>
      </c>
      <c r="M75" s="30">
        <f>(F75 + G75 + H75 ) / K75</f>
        <v>6.3393006059932172E-2</v>
      </c>
      <c r="N75" t="str">
        <f>IF(AND(C75&gt;=$T$2,C75&lt;=$U$2),"During","Before")</f>
        <v>Before</v>
      </c>
      <c r="O75" s="30">
        <f ca="1">AVERAGEIF($N$2:$N$301,"Before",M75)</f>
        <v>0.14304650736846619</v>
      </c>
      <c r="P75" s="30">
        <f ca="1">AVERAGEIF($N$2:$N$301,"During",M75)</f>
        <v>0.16404508370015072</v>
      </c>
      <c r="Q75" s="30">
        <f ca="1">(P75-O75)/O75</f>
        <v>0.1467954493820347</v>
      </c>
    </row>
    <row r="76" spans="1:17" ht="14.25" customHeight="1">
      <c r="A76" s="3" t="s">
        <v>166</v>
      </c>
      <c r="B76" s="3" t="s">
        <v>20</v>
      </c>
      <c r="C76" s="29" t="s">
        <v>167</v>
      </c>
      <c r="D76" s="3" t="s">
        <v>22</v>
      </c>
      <c r="E76" s="3" t="s">
        <v>67</v>
      </c>
      <c r="F76" s="12">
        <v>7240</v>
      </c>
      <c r="G76" s="12">
        <v>1384</v>
      </c>
      <c r="H76" s="12">
        <v>954</v>
      </c>
      <c r="I76" s="12">
        <v>2335</v>
      </c>
      <c r="J76" s="13">
        <v>6757</v>
      </c>
      <c r="K76" s="12">
        <v>150448</v>
      </c>
      <c r="L76" s="3" t="s">
        <v>28</v>
      </c>
      <c r="M76" s="30">
        <f>(F76 + G76 + H76 ) / K76</f>
        <v>6.3663192598106988E-2</v>
      </c>
      <c r="N76" t="str">
        <f>IF(AND(C76&gt;=$T$4,C76&lt;=$U$4),"During","Before")</f>
        <v>Before</v>
      </c>
      <c r="O76" s="30">
        <f ca="1">AVERAGEIF($N$2:$N$301,"Before",M76)</f>
        <v>0.14473428311412059</v>
      </c>
      <c r="P76" s="30">
        <f ca="1">AVERAGEIF($N$2:$N$301,"During",M76)</f>
        <v>0.16000254840748532</v>
      </c>
      <c r="Q76" s="30">
        <f ca="1">(P76-O76)/O76</f>
        <v>0.10549169806110104</v>
      </c>
    </row>
    <row r="77" spans="1:17" ht="14.25" customHeight="1">
      <c r="A77" s="3" t="s">
        <v>168</v>
      </c>
      <c r="B77" s="3" t="s">
        <v>44</v>
      </c>
      <c r="C77" s="29" t="s">
        <v>169</v>
      </c>
      <c r="D77" s="3" t="s">
        <v>22</v>
      </c>
      <c r="E77" s="3" t="s">
        <v>51</v>
      </c>
      <c r="F77" s="12">
        <v>14910</v>
      </c>
      <c r="G77" s="12">
        <v>778</v>
      </c>
      <c r="H77" s="12">
        <v>289</v>
      </c>
      <c r="I77" s="12">
        <v>2541</v>
      </c>
      <c r="J77" s="13">
        <v>14309</v>
      </c>
      <c r="K77" s="12">
        <v>247815</v>
      </c>
      <c r="L77" s="3" t="s">
        <v>28</v>
      </c>
      <c r="M77" s="30">
        <f>(F77 + G77 + H77 ) / K77</f>
        <v>6.4471480741682297E-2</v>
      </c>
      <c r="N77" t="str">
        <f>IF(AND(C77&gt;=$T$4,C77&lt;=$U$4),"During","Before")</f>
        <v>Before</v>
      </c>
      <c r="O77" s="30">
        <f ca="1">AVERAGEIF($N$2:$N$301,"Before",M77)</f>
        <v>0.14629785491072445</v>
      </c>
      <c r="P77" s="30">
        <f ca="1">AVERAGEIF($N$2:$N$301,"During",M77)</f>
        <v>0.15624394732020389</v>
      </c>
      <c r="Q77" s="30">
        <f ca="1">(P77-O77)/O77</f>
        <v>6.7985223813082279E-2</v>
      </c>
    </row>
    <row r="78" spans="1:17" ht="14.25" customHeight="1">
      <c r="A78" s="3" t="s">
        <v>170</v>
      </c>
      <c r="B78" s="3" t="s">
        <v>14</v>
      </c>
      <c r="C78" s="29" t="s">
        <v>171</v>
      </c>
      <c r="D78" s="3" t="s">
        <v>16</v>
      </c>
      <c r="E78" s="3" t="s">
        <v>60</v>
      </c>
      <c r="F78" s="12">
        <v>6544</v>
      </c>
      <c r="G78" s="12">
        <v>749</v>
      </c>
      <c r="H78" s="12">
        <v>888</v>
      </c>
      <c r="I78" s="12">
        <v>594</v>
      </c>
      <c r="J78" s="13">
        <v>18171</v>
      </c>
      <c r="K78" s="12">
        <v>126475</v>
      </c>
      <c r="L78" s="3" t="s">
        <v>28</v>
      </c>
      <c r="M78" s="30">
        <f>(F78 + G78 + H78 ) / K78</f>
        <v>6.4684720300454635E-2</v>
      </c>
      <c r="N78" t="str">
        <f>IF(AND(C78&gt;=$T$4,C78&lt;=$U$4),"During","Before")</f>
        <v>Before</v>
      </c>
      <c r="O78" s="30">
        <f ca="1">AVERAGEIF($N$2:$N$301,"Before",M78)</f>
        <v>0.14618355100147448</v>
      </c>
      <c r="P78" s="30">
        <f ca="1">AVERAGEIF($N$2:$N$301,"During",M78)</f>
        <v>0.15836777778264219</v>
      </c>
      <c r="Q78" s="30">
        <f ca="1">(P78-O78)/O78</f>
        <v>8.3348822064425093E-2</v>
      </c>
    </row>
    <row r="79" spans="1:17" ht="14.25" customHeight="1">
      <c r="A79" s="3" t="s">
        <v>172</v>
      </c>
      <c r="B79" s="3" t="s">
        <v>20</v>
      </c>
      <c r="C79" s="29" t="s">
        <v>173</v>
      </c>
      <c r="D79" s="3" t="s">
        <v>35</v>
      </c>
      <c r="E79" s="3" t="s">
        <v>51</v>
      </c>
      <c r="F79" s="12">
        <v>8738</v>
      </c>
      <c r="G79" s="12">
        <v>295</v>
      </c>
      <c r="H79" s="12">
        <v>529</v>
      </c>
      <c r="I79" s="12">
        <v>442</v>
      </c>
      <c r="J79" s="13">
        <v>25286</v>
      </c>
      <c r="K79" s="12">
        <v>147522</v>
      </c>
      <c r="L79" s="3" t="s">
        <v>24</v>
      </c>
      <c r="M79" s="30">
        <f>(F79 + G79 + H79 ) / K79</f>
        <v>6.4817450956467515E-2</v>
      </c>
      <c r="N79" t="str">
        <f>IF(AND(C79&gt;=$T$3,C79&lt;=$U$3),"During","Before")</f>
        <v>During</v>
      </c>
      <c r="O79" s="30">
        <f ca="1">AVERAGEIF($N$2:$N$301,"Before",M79)</f>
        <v>0.14788865994067837</v>
      </c>
      <c r="P79" s="30">
        <f ca="1">AVERAGEIF($N$2:$N$301,"During",M79)</f>
        <v>0.15397594553120156</v>
      </c>
      <c r="Q79" s="30">
        <f ca="1">(P79-O79)/O79</f>
        <v>4.1161273575438015E-2</v>
      </c>
    </row>
    <row r="80" spans="1:17" ht="14.25" customHeight="1">
      <c r="A80" s="3" t="s">
        <v>174</v>
      </c>
      <c r="B80" s="3" t="s">
        <v>62</v>
      </c>
      <c r="C80" s="29" t="s">
        <v>175</v>
      </c>
      <c r="D80" s="3" t="s">
        <v>16</v>
      </c>
      <c r="E80" s="3" t="s">
        <v>32</v>
      </c>
      <c r="F80" s="12">
        <v>12320</v>
      </c>
      <c r="G80" s="12">
        <v>1157</v>
      </c>
      <c r="H80" s="12">
        <v>365</v>
      </c>
      <c r="I80" s="12">
        <v>584</v>
      </c>
      <c r="J80" s="13">
        <v>66634</v>
      </c>
      <c r="K80" s="12">
        <v>210102</v>
      </c>
      <c r="L80" s="3" t="s">
        <v>24</v>
      </c>
      <c r="M80" s="30">
        <f>(F80 + G80 + H80 ) / K80</f>
        <v>6.5882285746922925E-2</v>
      </c>
      <c r="N80" t="str">
        <f>IF(AND(C80&gt;=$T$3,C80&lt;=$U$3),"During","Before")</f>
        <v>Before</v>
      </c>
      <c r="O80" s="30">
        <f ca="1">AVERAGEIF($N$2:$N$301,"Before",M80)</f>
        <v>0.14977556841059733</v>
      </c>
      <c r="P80" s="30">
        <f ca="1">AVERAGEIF($N$2:$N$301,"During",M80)</f>
        <v>0.14869469778922348</v>
      </c>
      <c r="Q80" s="30">
        <f ca="1">(P80-O80)/O80</f>
        <v>-7.2166016984207696E-3</v>
      </c>
    </row>
    <row r="81" spans="1:17" ht="14.25" customHeight="1">
      <c r="A81" s="3" t="s">
        <v>176</v>
      </c>
      <c r="B81" s="3" t="s">
        <v>14</v>
      </c>
      <c r="C81" s="29" t="s">
        <v>177</v>
      </c>
      <c r="D81" s="3" t="s">
        <v>35</v>
      </c>
      <c r="E81" s="3" t="s">
        <v>88</v>
      </c>
      <c r="F81" s="12">
        <v>9941</v>
      </c>
      <c r="G81" s="12">
        <v>1329</v>
      </c>
      <c r="H81" s="12">
        <v>238</v>
      </c>
      <c r="I81" s="12">
        <v>869</v>
      </c>
      <c r="J81" s="13">
        <v>40281</v>
      </c>
      <c r="K81" s="12">
        <v>172311</v>
      </c>
      <c r="L81" s="3" t="s">
        <v>28</v>
      </c>
      <c r="M81" s="30">
        <f>(F81 + G81 + H81 ) / K81</f>
        <v>6.6786217943137702E-2</v>
      </c>
      <c r="N81" t="str">
        <f>IF(AND(C81&gt;=$T$4,C81&lt;=$U$4),"During","Before")</f>
        <v>Before</v>
      </c>
      <c r="O81" s="30">
        <f ca="1">AVERAGEIF($N$2:$N$301,"Before",M81)</f>
        <v>0.14996935644168966</v>
      </c>
      <c r="P81" s="30">
        <f ca="1">AVERAGEIF($N$2:$N$301,"During",M81)</f>
        <v>0.14978122772884339</v>
      </c>
      <c r="Q81" s="30">
        <f ca="1">(P81-O81)/O81</f>
        <v>-1.2544476905814498E-3</v>
      </c>
    </row>
    <row r="82" spans="1:17" ht="14.25" customHeight="1">
      <c r="A82" s="3" t="s">
        <v>178</v>
      </c>
      <c r="B82" s="3" t="s">
        <v>62</v>
      </c>
      <c r="C82" s="29" t="s">
        <v>179</v>
      </c>
      <c r="D82" s="3" t="s">
        <v>35</v>
      </c>
      <c r="E82" s="3" t="s">
        <v>40</v>
      </c>
      <c r="F82" s="12">
        <v>12589</v>
      </c>
      <c r="G82" s="12">
        <v>346</v>
      </c>
      <c r="H82" s="12">
        <v>459</v>
      </c>
      <c r="I82" s="12">
        <v>1407</v>
      </c>
      <c r="J82" s="13">
        <v>29254</v>
      </c>
      <c r="K82" s="12">
        <v>198059</v>
      </c>
      <c r="L82" s="3" t="s">
        <v>28</v>
      </c>
      <c r="M82" s="30">
        <f>(F82 + G82 + H82 ) / K82</f>
        <v>6.7626313371268162E-2</v>
      </c>
      <c r="N82" t="str">
        <f>IF(AND(C82&gt;=$T$4,C82&lt;=$U$4),"During","Before")</f>
        <v>Before</v>
      </c>
      <c r="O82" s="30">
        <f ca="1">AVERAGEIF($N$2:$N$301,"Before",M82)</f>
        <v>0.15186681751277187</v>
      </c>
      <c r="P82" s="30">
        <f ca="1">AVERAGEIF($N$2:$N$301,"During",M82)</f>
        <v>0.14424654600320591</v>
      </c>
      <c r="Q82" s="30">
        <f ca="1">(P82-O82)/O82</f>
        <v>-5.0177330600380154E-2</v>
      </c>
    </row>
    <row r="83" spans="1:17" ht="14.25" customHeight="1">
      <c r="A83" s="3" t="s">
        <v>180</v>
      </c>
      <c r="B83" s="3" t="s">
        <v>44</v>
      </c>
      <c r="C83" s="29" t="s">
        <v>181</v>
      </c>
      <c r="D83" s="3" t="s">
        <v>22</v>
      </c>
      <c r="E83" s="3" t="s">
        <v>23</v>
      </c>
      <c r="F83" s="12">
        <v>11765</v>
      </c>
      <c r="G83" s="12">
        <v>693</v>
      </c>
      <c r="H83" s="12">
        <v>729</v>
      </c>
      <c r="I83" s="12">
        <v>744</v>
      </c>
      <c r="J83" s="13">
        <v>97772</v>
      </c>
      <c r="K83" s="12">
        <v>194243</v>
      </c>
      <c r="L83" s="3" t="s">
        <v>33</v>
      </c>
      <c r="M83" s="30">
        <f>(F83 + G83 + H83 ) / K83</f>
        <v>6.7889190344053579E-2</v>
      </c>
      <c r="N83" s="8" t="str">
        <f>IF(AND(C83&gt;=$T$5,C83&lt;=$U$5),"During","Before")</f>
        <v>Before</v>
      </c>
      <c r="O83" s="30">
        <f ca="1">AVERAGEIF($N$2:$N$301,"Before",M83)</f>
        <v>0.15176510811694413</v>
      </c>
      <c r="P83" s="30">
        <f ca="1">AVERAGEIF($N$2:$N$301,"During",M83)</f>
        <v>0.14651183353688435</v>
      </c>
      <c r="Q83" s="30">
        <f ca="1">(P83-O83)/O83</f>
        <v>-3.4614508204427442E-2</v>
      </c>
    </row>
    <row r="84" spans="1:17" ht="14.25" customHeight="1">
      <c r="A84" s="3" t="s">
        <v>182</v>
      </c>
      <c r="B84" s="3" t="s">
        <v>44</v>
      </c>
      <c r="C84" s="29" t="s">
        <v>183</v>
      </c>
      <c r="D84" s="3" t="s">
        <v>31</v>
      </c>
      <c r="E84" s="3" t="s">
        <v>32</v>
      </c>
      <c r="F84" s="12">
        <v>6432</v>
      </c>
      <c r="G84" s="12">
        <v>1272</v>
      </c>
      <c r="H84" s="12">
        <v>498</v>
      </c>
      <c r="I84" s="12">
        <v>677</v>
      </c>
      <c r="J84" s="13">
        <v>47305</v>
      </c>
      <c r="K84" s="12">
        <v>119134</v>
      </c>
      <c r="L84" s="3" t="s">
        <v>33</v>
      </c>
      <c r="M84" s="30">
        <f>(F84 + G84 + H84 ) / K84</f>
        <v>6.8846844729464299E-2</v>
      </c>
      <c r="N84" s="8" t="str">
        <f>IF(AND(C84&gt;=$T$5,C84&lt;=$U$5),"During","Before")</f>
        <v>Before</v>
      </c>
      <c r="O84" s="30">
        <f ca="1">AVERAGEIF($N$2:$N$301,"Before",M84)</f>
        <v>0.15181353664261224</v>
      </c>
      <c r="P84" s="30">
        <f ca="1">AVERAGEIF($N$2:$N$301,"During",M84)</f>
        <v>0.14818956204426906</v>
      </c>
      <c r="Q84" s="30">
        <f ca="1">(P84-O84)/O84</f>
        <v>-2.3871221753264765E-2</v>
      </c>
    </row>
    <row r="85" spans="1:17" ht="14.25" customHeight="1">
      <c r="A85" s="3" t="s">
        <v>184</v>
      </c>
      <c r="B85" s="3" t="s">
        <v>14</v>
      </c>
      <c r="C85" s="29" t="s">
        <v>185</v>
      </c>
      <c r="D85" s="3" t="s">
        <v>31</v>
      </c>
      <c r="E85" s="3" t="s">
        <v>60</v>
      </c>
      <c r="F85" s="12">
        <v>11860</v>
      </c>
      <c r="G85" s="12">
        <v>1448</v>
      </c>
      <c r="H85" s="12">
        <v>893</v>
      </c>
      <c r="I85" s="12">
        <v>490</v>
      </c>
      <c r="J85" s="13">
        <v>23518</v>
      </c>
      <c r="K85" s="12">
        <v>206205</v>
      </c>
      <c r="L85" s="3" t="s">
        <v>33</v>
      </c>
      <c r="M85" s="30">
        <f>(F85 + G85 + H85 ) / K85</f>
        <v>6.8868359157149436E-2</v>
      </c>
      <c r="N85" s="8" t="str">
        <f>IF(AND(C85&gt;=$T$5,C85&lt;=$U$5),"During","Before")</f>
        <v>Before</v>
      </c>
      <c r="O85" s="30">
        <f ca="1">AVERAGEIF($N$2:$N$301,"Before",M85)</f>
        <v>0.1539752800082072</v>
      </c>
      <c r="P85" s="30">
        <f ca="1">AVERAGEIF($N$2:$N$301,"During",M85)</f>
        <v>0.14149322375033446</v>
      </c>
      <c r="Q85" s="30">
        <f ca="1">(P85-O85)/O85</f>
        <v>-8.1065325922494977E-2</v>
      </c>
    </row>
    <row r="86" spans="1:17" ht="14.25" customHeight="1">
      <c r="A86" s="3" t="s">
        <v>186</v>
      </c>
      <c r="B86" s="3" t="s">
        <v>14</v>
      </c>
      <c r="C86" s="29">
        <v>45917</v>
      </c>
      <c r="D86" s="3" t="s">
        <v>35</v>
      </c>
      <c r="E86" s="3" t="s">
        <v>32</v>
      </c>
      <c r="F86" s="12">
        <v>15456</v>
      </c>
      <c r="G86" s="12">
        <v>590</v>
      </c>
      <c r="H86" s="12">
        <v>555</v>
      </c>
      <c r="I86" s="12">
        <v>2882</v>
      </c>
      <c r="J86" s="13">
        <v>49816</v>
      </c>
      <c r="K86" s="12">
        <v>240422</v>
      </c>
      <c r="L86" s="3" t="s">
        <v>37</v>
      </c>
      <c r="M86" s="30">
        <f>(F86 + G86 + H86 ) / K86</f>
        <v>6.9049421433978589E-2</v>
      </c>
      <c r="N86" t="str">
        <f>IF(AND(C86&gt;=$T$6,C86&lt;=$U$6),"During","Before")</f>
        <v>During</v>
      </c>
      <c r="O86" s="30">
        <f ca="1">AVERAGEIF($N$2:$N$301,"Before",M86)</f>
        <v>0.15405108419565436</v>
      </c>
      <c r="P86" s="30">
        <f ca="1">AVERAGEIF($N$2:$N$301,"During",M86)</f>
        <v>0.14313114649147407</v>
      </c>
      <c r="Q86" s="30">
        <f ca="1">(P86-O86)/O86</f>
        <v>-7.0885172676300637E-2</v>
      </c>
    </row>
    <row r="87" spans="1:17" ht="14.25" customHeight="1">
      <c r="A87" s="3" t="s">
        <v>187</v>
      </c>
      <c r="B87" s="3" t="s">
        <v>44</v>
      </c>
      <c r="C87" s="29">
        <v>45925</v>
      </c>
      <c r="D87" s="3" t="s">
        <v>16</v>
      </c>
      <c r="E87" s="3" t="s">
        <v>40</v>
      </c>
      <c r="F87" s="12">
        <v>12568</v>
      </c>
      <c r="G87" s="12">
        <v>541</v>
      </c>
      <c r="H87" s="12">
        <v>273</v>
      </c>
      <c r="I87" s="12">
        <v>2767</v>
      </c>
      <c r="J87" s="13">
        <v>22331</v>
      </c>
      <c r="K87" s="12">
        <v>192747</v>
      </c>
      <c r="L87" s="3" t="s">
        <v>37</v>
      </c>
      <c r="M87" s="30">
        <f>(F87 + G87 + H87 ) / K87</f>
        <v>6.9427799135654514E-2</v>
      </c>
      <c r="N87" t="str">
        <f>IF(AND(C87&gt;=$T$6,C87&lt;=$U$6),"During","Before")</f>
        <v>During</v>
      </c>
      <c r="O87" s="30">
        <f ca="1">AVERAGEIF($N$2:$N$301,"Before",M87)</f>
        <v>0.15400932096259401</v>
      </c>
      <c r="P87" s="30">
        <f ca="1">AVERAGEIF($N$2:$N$301,"During",M87)</f>
        <v>0.14522530957363328</v>
      </c>
      <c r="Q87" s="30">
        <f ca="1">(P87-O87)/O87</f>
        <v>-5.7035582872897707E-2</v>
      </c>
    </row>
    <row r="88" spans="1:17" ht="14.25" customHeight="1">
      <c r="A88" s="3" t="s">
        <v>188</v>
      </c>
      <c r="B88" s="3" t="s">
        <v>44</v>
      </c>
      <c r="C88" s="29" t="s">
        <v>189</v>
      </c>
      <c r="D88" s="3" t="s">
        <v>31</v>
      </c>
      <c r="E88" s="3" t="s">
        <v>32</v>
      </c>
      <c r="F88" s="12">
        <v>11865</v>
      </c>
      <c r="G88" s="12">
        <v>241</v>
      </c>
      <c r="H88" s="12">
        <v>319</v>
      </c>
      <c r="I88" s="12">
        <v>703</v>
      </c>
      <c r="J88" s="13">
        <v>69596</v>
      </c>
      <c r="K88" s="12">
        <v>177513</v>
      </c>
      <c r="L88" s="3" t="s">
        <v>24</v>
      </c>
      <c r="M88" s="30">
        <f>(F88 + G88 + H88 ) / K88</f>
        <v>6.999487361489018E-2</v>
      </c>
      <c r="N88" t="str">
        <f>IF(AND(C88&gt;=$T$3,C88&lt;=$U$3),"During","Before")</f>
        <v>Before</v>
      </c>
      <c r="O88" s="30">
        <f ca="1">AVERAGEIF($N$2:$N$301,"Before",M88)</f>
        <v>0.15397655210834096</v>
      </c>
      <c r="P88" s="30">
        <f ca="1">AVERAGEIF($N$2:$N$301,"During",M88)</f>
        <v>0.14727422382476843</v>
      </c>
      <c r="Q88" s="30">
        <f ca="1">(P88-O88)/O88</f>
        <v>-4.3528239798853542E-2</v>
      </c>
    </row>
    <row r="89" spans="1:17" ht="14.25" customHeight="1">
      <c r="A89" s="3" t="s">
        <v>190</v>
      </c>
      <c r="B89" s="3" t="s">
        <v>20</v>
      </c>
      <c r="C89" s="29" t="s">
        <v>191</v>
      </c>
      <c r="D89" s="3" t="s">
        <v>16</v>
      </c>
      <c r="E89" s="3" t="s">
        <v>17</v>
      </c>
      <c r="F89" s="12">
        <v>15917</v>
      </c>
      <c r="G89" s="12">
        <v>1479</v>
      </c>
      <c r="H89" s="12">
        <v>196</v>
      </c>
      <c r="I89" s="12">
        <v>313</v>
      </c>
      <c r="J89" s="13">
        <v>48524</v>
      </c>
      <c r="K89" s="12">
        <v>249684</v>
      </c>
      <c r="L89" s="3" t="s">
        <v>24</v>
      </c>
      <c r="M89" s="30">
        <f>(F89 + G89 + H89 ) / K89</f>
        <v>7.0457057720959296E-2</v>
      </c>
      <c r="N89" t="str">
        <f>IF(AND(C89&gt;=$T$3,C89&lt;=$U$3),"During","Before")</f>
        <v>Before</v>
      </c>
      <c r="O89" s="30">
        <f ca="1">AVERAGEIF($N$2:$N$301,"Before",M89)</f>
        <v>0.15412943344431487</v>
      </c>
      <c r="P89" s="30">
        <f ca="1">AVERAGEIF($N$2:$N$301,"During",M89)</f>
        <v>0.14859569502281086</v>
      </c>
      <c r="Q89" s="30">
        <f ca="1">(P89-O89)/O89</f>
        <v>-3.5903190570691891E-2</v>
      </c>
    </row>
    <row r="90" spans="1:17" ht="14.25" customHeight="1">
      <c r="A90" s="3" t="s">
        <v>192</v>
      </c>
      <c r="B90" s="3" t="s">
        <v>20</v>
      </c>
      <c r="C90" s="29">
        <v>45930</v>
      </c>
      <c r="D90" s="3" t="s">
        <v>35</v>
      </c>
      <c r="E90" s="3" t="s">
        <v>103</v>
      </c>
      <c r="F90" s="12">
        <v>8269</v>
      </c>
      <c r="G90" s="12">
        <v>250</v>
      </c>
      <c r="H90" s="12">
        <v>638</v>
      </c>
      <c r="I90" s="12">
        <v>815</v>
      </c>
      <c r="J90" s="13">
        <v>41991</v>
      </c>
      <c r="K90" s="12">
        <v>129393</v>
      </c>
      <c r="L90" s="3" t="s">
        <v>37</v>
      </c>
      <c r="M90" s="30">
        <f>(F90 + G90 + H90 ) / K90</f>
        <v>7.0768897853825175E-2</v>
      </c>
      <c r="N90" t="str">
        <f>IF(AND(C90&gt;=$T$6,C90&lt;=$U$6),"During","Before")</f>
        <v>During</v>
      </c>
      <c r="O90" s="30">
        <f ca="1">AVERAGEIF($N$2:$N$301,"Before",M90)</f>
        <v>0.15626174965246228</v>
      </c>
      <c r="P90" s="30">
        <f ca="1">AVERAGEIF($N$2:$N$301,"During",M90)</f>
        <v>0.14203237404897204</v>
      </c>
      <c r="Q90" s="30">
        <f ca="1">(P90-O90)/O90</f>
        <v>-9.1061156265928367E-2</v>
      </c>
    </row>
    <row r="91" spans="1:17" ht="14.25" customHeight="1">
      <c r="A91" s="3" t="s">
        <v>193</v>
      </c>
      <c r="B91" s="3" t="s">
        <v>20</v>
      </c>
      <c r="C91" s="29">
        <v>45945</v>
      </c>
      <c r="D91" s="3" t="s">
        <v>31</v>
      </c>
      <c r="E91" s="3" t="s">
        <v>46</v>
      </c>
      <c r="F91" s="12">
        <v>8882</v>
      </c>
      <c r="G91" s="12">
        <v>701</v>
      </c>
      <c r="H91" s="12">
        <v>421</v>
      </c>
      <c r="I91" s="12">
        <v>2343</v>
      </c>
      <c r="J91" s="13">
        <v>13588</v>
      </c>
      <c r="K91" s="12">
        <v>139304</v>
      </c>
      <c r="L91" s="3" t="s">
        <v>37</v>
      </c>
      <c r="M91" s="30">
        <f>(F91 + G91 + H91 ) / K91</f>
        <v>7.1814161833113191E-2</v>
      </c>
      <c r="N91" t="str">
        <f>IF(AND(C91&gt;=$T$6,C91&lt;=$U$6),"During","Before")</f>
        <v>Before</v>
      </c>
      <c r="O91" s="30">
        <f ca="1">AVERAGEIF($N$2:$N$301,"Before",M91)</f>
        <v>0.15617926317587386</v>
      </c>
      <c r="P91" s="30">
        <f ca="1">AVERAGEIF($N$2:$N$301,"During",M91)</f>
        <v>0.14434285265049526</v>
      </c>
      <c r="Q91" s="30">
        <f ca="1">(P91-O91)/O91</f>
        <v>-7.5787337478020897E-2</v>
      </c>
    </row>
    <row r="92" spans="1:17" ht="14.25" customHeight="1">
      <c r="A92" s="3" t="s">
        <v>194</v>
      </c>
      <c r="B92" s="3" t="s">
        <v>20</v>
      </c>
      <c r="C92" s="29" t="s">
        <v>195</v>
      </c>
      <c r="D92" s="3" t="s">
        <v>31</v>
      </c>
      <c r="E92" s="3" t="s">
        <v>40</v>
      </c>
      <c r="F92" s="12">
        <v>8809</v>
      </c>
      <c r="G92" s="12">
        <v>1151</v>
      </c>
      <c r="H92" s="12">
        <v>908</v>
      </c>
      <c r="I92" s="12">
        <v>883</v>
      </c>
      <c r="J92" s="13">
        <v>42921</v>
      </c>
      <c r="K92" s="12">
        <v>151279</v>
      </c>
      <c r="L92" s="3" t="s">
        <v>18</v>
      </c>
      <c r="M92" s="30">
        <f>(F92 + G92 + H92 ) / K92</f>
        <v>7.1840771025720687E-2</v>
      </c>
      <c r="N92" t="str">
        <f>IF(AND(C92&gt;=$T$2,C92&lt;=$U$2),"During","Before")</f>
        <v>During</v>
      </c>
      <c r="O92" s="30">
        <f ca="1">AVERAGEIF($N$2:$N$301,"Before",M92)</f>
        <v>0.15637980703969465</v>
      </c>
      <c r="P92" s="30">
        <f ca="1">AVERAGEIF($N$2:$N$301,"During",M92)</f>
        <v>0.14552597535013928</v>
      </c>
      <c r="Q92" s="30">
        <f ca="1">(P92-O92)/O92</f>
        <v>-6.940686201767908E-2</v>
      </c>
    </row>
    <row r="93" spans="1:17" ht="14.25" customHeight="1">
      <c r="A93" s="3" t="s">
        <v>196</v>
      </c>
      <c r="B93" s="3" t="s">
        <v>14</v>
      </c>
      <c r="C93" s="29">
        <v>45923</v>
      </c>
      <c r="D93" s="3" t="s">
        <v>31</v>
      </c>
      <c r="E93" s="3" t="s">
        <v>27</v>
      </c>
      <c r="F93" s="12">
        <v>10017</v>
      </c>
      <c r="G93" s="12">
        <v>1357</v>
      </c>
      <c r="H93" s="12">
        <v>966</v>
      </c>
      <c r="I93" s="12">
        <v>2871</v>
      </c>
      <c r="J93" s="13">
        <v>14800</v>
      </c>
      <c r="K93" s="12">
        <v>171691</v>
      </c>
      <c r="L93" s="3" t="s">
        <v>37</v>
      </c>
      <c r="M93" s="30">
        <f>(F93 + G93 + H93 ) / K93</f>
        <v>7.1873307278774071E-2</v>
      </c>
      <c r="N93" t="str">
        <f>IF(AND(C93&gt;=$T$6,C93&lt;=$U$6),"During","Before")</f>
        <v>During</v>
      </c>
      <c r="O93" s="30">
        <f ca="1">AVERAGEIF($N$2:$N$301,"Before",M93)</f>
        <v>0.15651286741834844</v>
      </c>
      <c r="P93" s="30">
        <f ca="1">AVERAGEIF($N$2:$N$301,"During",M93)</f>
        <v>0.14697832449333542</v>
      </c>
      <c r="Q93" s="30">
        <f ca="1">(P93-O93)/O93</f>
        <v>-6.0918588243149496E-2</v>
      </c>
    </row>
    <row r="94" spans="1:17" ht="14.25" customHeight="1">
      <c r="A94" s="3" t="s">
        <v>197</v>
      </c>
      <c r="B94" s="3" t="s">
        <v>44</v>
      </c>
      <c r="C94" s="29" t="s">
        <v>198</v>
      </c>
      <c r="D94" s="3" t="s">
        <v>22</v>
      </c>
      <c r="E94" s="3" t="s">
        <v>36</v>
      </c>
      <c r="F94" s="12">
        <v>12167</v>
      </c>
      <c r="G94" s="12">
        <v>364</v>
      </c>
      <c r="H94" s="12">
        <v>160</v>
      </c>
      <c r="I94" s="12">
        <v>616</v>
      </c>
      <c r="J94" s="13">
        <v>42228</v>
      </c>
      <c r="K94" s="12">
        <v>175832</v>
      </c>
      <c r="L94" s="3" t="s">
        <v>28</v>
      </c>
      <c r="M94" s="30">
        <f>(F94 + G94 + H94 ) / K94</f>
        <v>7.2176850630146963E-2</v>
      </c>
      <c r="N94" t="str">
        <f>IF(AND(C94&gt;=$T$4,C94&lt;=$U$4),"During","Before")</f>
        <v>Before</v>
      </c>
      <c r="O94" s="30">
        <f ca="1">AVERAGEIF($N$2:$N$301,"Before",M94)</f>
        <v>0.15648843972628182</v>
      </c>
      <c r="P94" s="30">
        <f ca="1">AVERAGEIF($N$2:$N$301,"During",M94)</f>
        <v>0.14904042052427907</v>
      </c>
      <c r="Q94" s="30">
        <f ca="1">(P94-O94)/O94</f>
        <v>-4.7594692713597765E-2</v>
      </c>
    </row>
    <row r="95" spans="1:17" ht="14.25" customHeight="1">
      <c r="A95" s="3" t="s">
        <v>199</v>
      </c>
      <c r="B95" s="3" t="s">
        <v>14</v>
      </c>
      <c r="C95" s="29" t="s">
        <v>39</v>
      </c>
      <c r="D95" s="3" t="s">
        <v>31</v>
      </c>
      <c r="E95" s="3" t="s">
        <v>46</v>
      </c>
      <c r="F95" s="12">
        <v>15550</v>
      </c>
      <c r="G95" s="12">
        <v>204</v>
      </c>
      <c r="H95" s="12">
        <v>279</v>
      </c>
      <c r="I95" s="12">
        <v>1646</v>
      </c>
      <c r="J95" s="13">
        <v>23275</v>
      </c>
      <c r="K95" s="12">
        <v>219436</v>
      </c>
      <c r="L95" s="3" t="s">
        <v>33</v>
      </c>
      <c r="M95" s="30">
        <f>(F95 + G95 + H95 ) / K95</f>
        <v>7.306458375107093E-2</v>
      </c>
      <c r="N95" s="8" t="str">
        <f>IF(AND(C95&gt;=$T$5,C95&lt;=$U$5),"During","Before")</f>
        <v>Before</v>
      </c>
      <c r="O95" s="30">
        <f ca="1">AVERAGEIF($N$2:$N$301,"Before",M95)</f>
        <v>0.15639036613204516</v>
      </c>
      <c r="P95" s="30">
        <f ca="1">AVERAGEIF($N$2:$N$301,"During",M95)</f>
        <v>0.15137520328127765</v>
      </c>
      <c r="Q95" s="30">
        <f ca="1">(P95-O95)/O95</f>
        <v>-3.2068233963548923E-2</v>
      </c>
    </row>
    <row r="96" spans="1:17" ht="14.25" customHeight="1">
      <c r="A96" s="3" t="s">
        <v>200</v>
      </c>
      <c r="B96" s="3" t="s">
        <v>62</v>
      </c>
      <c r="C96" s="29" t="s">
        <v>201</v>
      </c>
      <c r="D96" s="3" t="s">
        <v>16</v>
      </c>
      <c r="E96" s="3" t="s">
        <v>23</v>
      </c>
      <c r="F96" s="12">
        <v>13475</v>
      </c>
      <c r="G96" s="12">
        <v>1032</v>
      </c>
      <c r="H96" s="12">
        <v>295</v>
      </c>
      <c r="I96" s="12">
        <v>541</v>
      </c>
      <c r="J96" s="13">
        <v>43666</v>
      </c>
      <c r="K96" s="12">
        <v>202396</v>
      </c>
      <c r="L96" s="3" t="s">
        <v>18</v>
      </c>
      <c r="M96" s="30">
        <f>(F96 + G96 + H96 ) / K96</f>
        <v>7.3133856400324118E-2</v>
      </c>
      <c r="N96" t="str">
        <f>IF(AND(C96&gt;=$T$2,C96&lt;=$U$2),"During","Before")</f>
        <v>Before</v>
      </c>
      <c r="O96" s="30">
        <f ca="1">AVERAGEIF($N$2:$N$301,"Before",M96)</f>
        <v>0.15661359525931304</v>
      </c>
      <c r="P96" s="30">
        <f ca="1">AVERAGEIF($N$2:$N$301,"During",M96)</f>
        <v>0.15246681804026158</v>
      </c>
      <c r="Q96" s="30">
        <f ca="1">(P96-O96)/O96</f>
        <v>-2.6477760198183518E-2</v>
      </c>
    </row>
    <row r="97" spans="1:17" ht="14.25" customHeight="1">
      <c r="A97" s="3" t="s">
        <v>202</v>
      </c>
      <c r="B97" s="3" t="s">
        <v>44</v>
      </c>
      <c r="C97" s="29" t="s">
        <v>203</v>
      </c>
      <c r="D97" s="3" t="s">
        <v>16</v>
      </c>
      <c r="E97" s="3" t="s">
        <v>17</v>
      </c>
      <c r="F97" s="12">
        <v>10659</v>
      </c>
      <c r="G97" s="12">
        <v>1342</v>
      </c>
      <c r="H97" s="12">
        <v>408</v>
      </c>
      <c r="I97" s="12">
        <v>709</v>
      </c>
      <c r="J97" s="13">
        <v>16309</v>
      </c>
      <c r="K97" s="12">
        <v>168803</v>
      </c>
      <c r="L97" s="3" t="s">
        <v>28</v>
      </c>
      <c r="M97" s="30">
        <f>(F97 + G97 + H97 ) / K97</f>
        <v>7.3511726687321907E-2</v>
      </c>
      <c r="N97" t="str">
        <f>IF(AND(C97&gt;=$T$4,C97&lt;=$U$4),"During","Before")</f>
        <v>Before</v>
      </c>
      <c r="O97" s="30">
        <f ca="1">AVERAGEIF($N$2:$N$301,"Before",M97)</f>
        <v>0.15874510390188454</v>
      </c>
      <c r="P97" s="30">
        <f ca="1">AVERAGEIF($N$2:$N$301,"During",M97)</f>
        <v>0.1460834145378993</v>
      </c>
      <c r="Q97" s="30">
        <f ca="1">(P97-O97)/O97</f>
        <v>-7.9761133116968669E-2</v>
      </c>
    </row>
    <row r="98" spans="1:17" ht="14.25" customHeight="1">
      <c r="A98" s="3" t="s">
        <v>204</v>
      </c>
      <c r="B98" s="3" t="s">
        <v>14</v>
      </c>
      <c r="C98" s="29" t="s">
        <v>205</v>
      </c>
      <c r="D98" s="3" t="s">
        <v>35</v>
      </c>
      <c r="E98" s="3" t="s">
        <v>17</v>
      </c>
      <c r="F98" s="12">
        <v>10415</v>
      </c>
      <c r="G98" s="12">
        <v>1388</v>
      </c>
      <c r="H98" s="12">
        <v>725</v>
      </c>
      <c r="I98" s="12">
        <v>2462</v>
      </c>
      <c r="J98" s="13">
        <v>23275</v>
      </c>
      <c r="K98" s="12">
        <v>168267</v>
      </c>
      <c r="L98" s="3" t="s">
        <v>18</v>
      </c>
      <c r="M98" s="30">
        <f>(F98 + G98 + H98 ) / K98</f>
        <v>7.4453101321114656E-2</v>
      </c>
      <c r="N98" t="str">
        <f>IF(AND(C98&gt;=$T$2,C98&lt;=$U$2),"During","Before")</f>
        <v>Before</v>
      </c>
      <c r="O98" s="30">
        <f ca="1">AVERAGEIF($N$2:$N$301,"Before",M98)</f>
        <v>0.15894548708950024</v>
      </c>
      <c r="P98" s="30">
        <f ca="1">AVERAGEIF($N$2:$N$301,"During",M98)</f>
        <v>0.1473398740812521</v>
      </c>
      <c r="Q98" s="30">
        <f ca="1">(P98-O98)/O98</f>
        <v>-7.3016310313442009E-2</v>
      </c>
    </row>
    <row r="99" spans="1:17" ht="14.25" customHeight="1">
      <c r="A99" s="3" t="s">
        <v>206</v>
      </c>
      <c r="B99" s="3" t="s">
        <v>20</v>
      </c>
      <c r="C99" s="29">
        <v>45910</v>
      </c>
      <c r="D99" s="3" t="s">
        <v>31</v>
      </c>
      <c r="E99" s="3" t="s">
        <v>36</v>
      </c>
      <c r="F99" s="12">
        <v>13613</v>
      </c>
      <c r="G99" s="12">
        <v>350</v>
      </c>
      <c r="H99" s="12">
        <v>809</v>
      </c>
      <c r="I99" s="12">
        <v>2013</v>
      </c>
      <c r="J99" s="13">
        <v>20471</v>
      </c>
      <c r="K99" s="12">
        <v>198038</v>
      </c>
      <c r="L99" s="3" t="s">
        <v>37</v>
      </c>
      <c r="M99" s="30">
        <f>(F99 + G99 + H99 ) / K99</f>
        <v>7.4591745018632791E-2</v>
      </c>
      <c r="N99" t="str">
        <f>IF(AND(C99&gt;=$T$6,C99&lt;=$U$6),"During","Before")</f>
        <v>During</v>
      </c>
      <c r="O99" s="30">
        <f ca="1">AVERAGEIF($N$2:$N$301,"Before",M99)</f>
        <v>0.1589412914257067</v>
      </c>
      <c r="P99" s="30">
        <f ca="1">AVERAGEIF($N$2:$N$301,"During",M99)</f>
        <v>0.14936768092980315</v>
      </c>
      <c r="Q99" s="30">
        <f ca="1">(P99-O99)/O99</f>
        <v>-6.0233627209317755E-2</v>
      </c>
    </row>
    <row r="100" spans="1:17" ht="14.25" customHeight="1">
      <c r="A100" s="3" t="s">
        <v>207</v>
      </c>
      <c r="B100" s="3" t="s">
        <v>14</v>
      </c>
      <c r="C100" s="29" t="s">
        <v>133</v>
      </c>
      <c r="D100" s="3" t="s">
        <v>31</v>
      </c>
      <c r="E100" s="3" t="s">
        <v>103</v>
      </c>
      <c r="F100" s="12">
        <v>5812</v>
      </c>
      <c r="G100" s="12">
        <v>934</v>
      </c>
      <c r="H100" s="12">
        <v>302</v>
      </c>
      <c r="I100" s="12">
        <v>2356</v>
      </c>
      <c r="J100" s="13">
        <v>37437</v>
      </c>
      <c r="K100" s="12">
        <v>93551</v>
      </c>
      <c r="L100" s="3" t="s">
        <v>33</v>
      </c>
      <c r="M100" s="30">
        <f>(F100 + G100 + H100 ) / K100</f>
        <v>7.5338585370546551E-2</v>
      </c>
      <c r="N100" s="8" t="str">
        <f>IF(AND(C100&gt;=$T$5,C100&lt;=$U$5),"During","Before")</f>
        <v>During</v>
      </c>
      <c r="O100" s="30">
        <f ca="1">AVERAGEIF($N$2:$N$301,"Before",M100)</f>
        <v>0.15900546429778112</v>
      </c>
      <c r="P100" s="30">
        <f ca="1">AVERAGEIF($N$2:$N$301,"During",M100)</f>
        <v>0.15113153537921201</v>
      </c>
      <c r="Q100" s="30">
        <f ca="1">(P100-O100)/O100</f>
        <v>-4.9519863693634023E-2</v>
      </c>
    </row>
    <row r="101" spans="1:17" ht="14.25" customHeight="1">
      <c r="A101" s="3" t="s">
        <v>208</v>
      </c>
      <c r="B101" s="3" t="s">
        <v>20</v>
      </c>
      <c r="C101" s="29">
        <v>45924</v>
      </c>
      <c r="D101" s="3" t="s">
        <v>31</v>
      </c>
      <c r="E101" s="3" t="s">
        <v>51</v>
      </c>
      <c r="F101" s="12">
        <v>11795</v>
      </c>
      <c r="G101" s="12">
        <v>958</v>
      </c>
      <c r="H101" s="12">
        <v>814</v>
      </c>
      <c r="I101" s="12">
        <v>301</v>
      </c>
      <c r="J101" s="13">
        <v>12564</v>
      </c>
      <c r="K101" s="12">
        <v>179999</v>
      </c>
      <c r="L101" s="3" t="s">
        <v>37</v>
      </c>
      <c r="M101" s="30">
        <f>(F101 + G101 + H101 ) / K101</f>
        <v>7.5372640959116444E-2</v>
      </c>
      <c r="N101" t="str">
        <f>IF(AND(C101&gt;=$T$6,C101&lt;=$U$6),"During","Before")</f>
        <v>During</v>
      </c>
      <c r="O101" s="30">
        <f ca="1">AVERAGEIF($N$2:$N$301,"Before",M101)</f>
        <v>0.15899502619812145</v>
      </c>
      <c r="P101" s="30">
        <f ca="1">AVERAGEIF($N$2:$N$301,"During",M101)</f>
        <v>0.15316311958809561</v>
      </c>
      <c r="Q101" s="30">
        <f ca="1">(P101-O101)/O101</f>
        <v>-3.6679805334028356E-2</v>
      </c>
    </row>
    <row r="102" spans="1:17" ht="14.25" customHeight="1">
      <c r="A102" s="3" t="s">
        <v>209</v>
      </c>
      <c r="B102" s="3" t="s">
        <v>20</v>
      </c>
      <c r="C102" s="29" t="s">
        <v>210</v>
      </c>
      <c r="D102" s="3" t="s">
        <v>16</v>
      </c>
      <c r="E102" s="3" t="s">
        <v>36</v>
      </c>
      <c r="F102" s="12">
        <v>16388</v>
      </c>
      <c r="G102" s="12">
        <v>1208</v>
      </c>
      <c r="H102" s="12">
        <v>417</v>
      </c>
      <c r="I102" s="12">
        <v>2306</v>
      </c>
      <c r="J102" s="13">
        <v>16865</v>
      </c>
      <c r="K102" s="12">
        <v>236733</v>
      </c>
      <c r="L102" s="3" t="s">
        <v>33</v>
      </c>
      <c r="M102" s="30">
        <f>(F102 + G102 + H102 ) / K102</f>
        <v>7.6089940988370866E-2</v>
      </c>
      <c r="N102" s="8" t="str">
        <f>IF(AND(C102&gt;=$T$5,C102&lt;=$U$5),"During","Before")</f>
        <v>Before</v>
      </c>
      <c r="O102" s="30">
        <f ca="1">AVERAGEIF($N$2:$N$301,"Before",M102)</f>
        <v>0.15876995842220207</v>
      </c>
      <c r="P102" s="30">
        <f ca="1">AVERAGEIF($N$2:$N$301,"During",M102)</f>
        <v>0.15600081229843546</v>
      </c>
      <c r="Q102" s="30">
        <f ca="1">(P102-O102)/O102</f>
        <v>-1.7441247395195994E-2</v>
      </c>
    </row>
    <row r="103" spans="1:17" ht="14.25" customHeight="1">
      <c r="A103" s="3" t="s">
        <v>211</v>
      </c>
      <c r="B103" s="3" t="s">
        <v>14</v>
      </c>
      <c r="C103" s="29" t="s">
        <v>212</v>
      </c>
      <c r="D103" s="3" t="s">
        <v>31</v>
      </c>
      <c r="E103" s="3" t="s">
        <v>46</v>
      </c>
      <c r="F103" s="12">
        <v>5818</v>
      </c>
      <c r="G103" s="12">
        <v>1252</v>
      </c>
      <c r="H103" s="12">
        <v>687</v>
      </c>
      <c r="I103" s="12">
        <v>2300</v>
      </c>
      <c r="J103" s="13">
        <v>25081</v>
      </c>
      <c r="K103" s="12">
        <v>101212</v>
      </c>
      <c r="L103" s="3" t="s">
        <v>18</v>
      </c>
      <c r="M103" s="30">
        <f>(F103 + G103 + H103 ) / K103</f>
        <v>7.6641109749832043E-2</v>
      </c>
      <c r="N103" t="str">
        <f>IF(AND(C103&gt;=$T$2,C103&lt;=$U$2),"During","Before")</f>
        <v>Before</v>
      </c>
      <c r="O103" s="30">
        <f ca="1">AVERAGEIF($N$2:$N$301,"Before",M103)</f>
        <v>0.15875875487024804</v>
      </c>
      <c r="P103" s="30">
        <f ca="1">AVERAGEIF($N$2:$N$301,"During",M103)</f>
        <v>0.15801126408630736</v>
      </c>
      <c r="Q103" s="30">
        <f ca="1">(P103-O103)/O103</f>
        <v>-4.7083437039525571E-3</v>
      </c>
    </row>
    <row r="104" spans="1:17" ht="14.25" customHeight="1">
      <c r="A104" s="3" t="s">
        <v>213</v>
      </c>
      <c r="B104" s="3" t="s">
        <v>44</v>
      </c>
      <c r="C104" s="29" t="s">
        <v>191</v>
      </c>
      <c r="D104" s="3" t="s">
        <v>31</v>
      </c>
      <c r="E104" s="3" t="s">
        <v>51</v>
      </c>
      <c r="F104" s="12">
        <v>14941</v>
      </c>
      <c r="G104" s="12">
        <v>1424</v>
      </c>
      <c r="H104" s="12">
        <v>238</v>
      </c>
      <c r="I104" s="12">
        <v>1054</v>
      </c>
      <c r="J104" s="13">
        <v>20516</v>
      </c>
      <c r="K104" s="12">
        <v>216048</v>
      </c>
      <c r="L104" s="3" t="s">
        <v>18</v>
      </c>
      <c r="M104" s="30">
        <f>(F104 + G104 + H104 ) / K104</f>
        <v>7.6848663260016298E-2</v>
      </c>
      <c r="N104" t="str">
        <f>IF(AND(C104&gt;=$T$2,C104&lt;=$U$2),"During","Before")</f>
        <v>Before</v>
      </c>
      <c r="O104" s="30">
        <f ca="1">AVERAGEIF($N$2:$N$301,"Before",M104)</f>
        <v>0.15887664967450185</v>
      </c>
      <c r="P104" s="30">
        <f ca="1">AVERAGEIF($N$2:$N$301,"During",M104)</f>
        <v>0.15952855112575526</v>
      </c>
      <c r="Q104" s="30">
        <f ca="1">(P104-O104)/O104</f>
        <v>4.1031923356200399E-3</v>
      </c>
    </row>
    <row r="105" spans="1:17" ht="14.25" customHeight="1">
      <c r="A105" s="3" t="s">
        <v>214</v>
      </c>
      <c r="B105" s="3" t="s">
        <v>20</v>
      </c>
      <c r="C105" s="29" t="s">
        <v>215</v>
      </c>
      <c r="D105" s="3" t="s">
        <v>16</v>
      </c>
      <c r="E105" s="3" t="s">
        <v>23</v>
      </c>
      <c r="F105" s="12">
        <v>12136</v>
      </c>
      <c r="G105" s="12">
        <v>1117</v>
      </c>
      <c r="H105" s="12">
        <v>834</v>
      </c>
      <c r="I105" s="12">
        <v>892</v>
      </c>
      <c r="J105" s="13">
        <v>23275</v>
      </c>
      <c r="K105" s="12">
        <v>183273</v>
      </c>
      <c r="L105" s="3" t="s">
        <v>28</v>
      </c>
      <c r="M105" s="30">
        <f>(F105 + G105 + H105 ) / K105</f>
        <v>7.6863476889667326E-2</v>
      </c>
      <c r="N105" t="str">
        <f>IF(AND(C105&gt;=$T$4,C105&lt;=$U$4),"During","Before")</f>
        <v>Before</v>
      </c>
      <c r="O105" s="30">
        <f ca="1">AVERAGEIF($N$2:$N$301,"Before",M105)</f>
        <v>0.16083832197073653</v>
      </c>
      <c r="P105" s="30">
        <f ca="1">AVERAGEIF($N$2:$N$301,"During",M105)</f>
        <v>0.15408120989778304</v>
      </c>
      <c r="Q105" s="30">
        <f ca="1">(P105-O105)/O105</f>
        <v>-4.2011828960655896E-2</v>
      </c>
    </row>
    <row r="106" spans="1:17" ht="14.25" customHeight="1">
      <c r="A106" s="3" t="s">
        <v>216</v>
      </c>
      <c r="B106" s="3" t="s">
        <v>62</v>
      </c>
      <c r="C106" s="29" t="s">
        <v>217</v>
      </c>
      <c r="D106" s="3" t="s">
        <v>22</v>
      </c>
      <c r="E106" s="3" t="s">
        <v>32</v>
      </c>
      <c r="F106" s="12">
        <v>14607</v>
      </c>
      <c r="G106" s="12">
        <v>1458</v>
      </c>
      <c r="H106" s="12">
        <v>478</v>
      </c>
      <c r="I106" s="12">
        <v>334</v>
      </c>
      <c r="J106" s="13">
        <v>49257</v>
      </c>
      <c r="K106" s="12">
        <v>214668</v>
      </c>
      <c r="L106" s="3" t="s">
        <v>24</v>
      </c>
      <c r="M106" s="30">
        <f>(F106 + G106 + H106 ) / K106</f>
        <v>7.7063185942944451E-2</v>
      </c>
      <c r="N106" t="str">
        <f>IF(AND(C106&gt;=$T$3,C106&lt;=$U$3),"During","Before")</f>
        <v>Before</v>
      </c>
      <c r="O106" s="30">
        <f ca="1">AVERAGEIF($N$2:$N$301,"Before",M106)</f>
        <v>0.16075937816313171</v>
      </c>
      <c r="P106" s="30">
        <f ca="1">AVERAGEIF($N$2:$N$301,"During",M106)</f>
        <v>0.15642782295290034</v>
      </c>
      <c r="Q106" s="30">
        <f ca="1">(P106-O106)/O106</f>
        <v>-2.6944339171528137E-2</v>
      </c>
    </row>
    <row r="107" spans="1:17" ht="14.25" customHeight="1">
      <c r="A107" s="3" t="s">
        <v>218</v>
      </c>
      <c r="B107" s="3" t="s">
        <v>20</v>
      </c>
      <c r="C107" s="29" t="s">
        <v>219</v>
      </c>
      <c r="D107" s="3" t="s">
        <v>16</v>
      </c>
      <c r="E107" s="3" t="s">
        <v>36</v>
      </c>
      <c r="F107" s="12">
        <v>6892</v>
      </c>
      <c r="G107" s="12">
        <v>1184</v>
      </c>
      <c r="H107" s="12">
        <v>925</v>
      </c>
      <c r="I107" s="12">
        <v>1062</v>
      </c>
      <c r="J107" s="13">
        <v>75008</v>
      </c>
      <c r="K107" s="12">
        <v>116260</v>
      </c>
      <c r="L107" s="3" t="s">
        <v>18</v>
      </c>
      <c r="M107" s="30">
        <f>(F107 + G107 + H107 ) / K107</f>
        <v>7.7421297092723204E-2</v>
      </c>
      <c r="N107" t="str">
        <f>IF(AND(C107&gt;=$T$2,C107&lt;=$U$2),"During","Before")</f>
        <v>Before</v>
      </c>
      <c r="O107" s="30">
        <f ca="1">AVERAGEIF($N$2:$N$301,"Before",M107)</f>
        <v>0.16081128290433389</v>
      </c>
      <c r="P107" s="30">
        <f ca="1">AVERAGEIF($N$2:$N$301,"During",M107)</f>
        <v>0.15827423422302364</v>
      </c>
      <c r="Q107" s="30">
        <f ca="1">(P107-O107)/O107</f>
        <v>-1.5776558929758221E-2</v>
      </c>
    </row>
    <row r="108" spans="1:17" ht="14.25" customHeight="1">
      <c r="A108" s="3" t="s">
        <v>220</v>
      </c>
      <c r="B108" s="3" t="s">
        <v>20</v>
      </c>
      <c r="C108" s="29" t="s">
        <v>191</v>
      </c>
      <c r="D108" s="3" t="s">
        <v>35</v>
      </c>
      <c r="E108" s="3" t="s">
        <v>40</v>
      </c>
      <c r="F108" s="12">
        <v>8238</v>
      </c>
      <c r="G108" s="12">
        <v>766</v>
      </c>
      <c r="H108" s="12">
        <v>235</v>
      </c>
      <c r="I108" s="12">
        <v>1273</v>
      </c>
      <c r="J108" s="13">
        <v>4706</v>
      </c>
      <c r="K108" s="12">
        <v>119141</v>
      </c>
      <c r="L108" s="3" t="s">
        <v>24</v>
      </c>
      <c r="M108" s="30">
        <f>(F108 + G108 + H108 ) / K108</f>
        <v>7.7546772311798629E-2</v>
      </c>
      <c r="N108" t="str">
        <f>IF(AND(C108&gt;=$T$3,C108&lt;=$U$3),"During","Before")</f>
        <v>Before</v>
      </c>
      <c r="O108" s="30">
        <f ca="1">AVERAGEIF($N$2:$N$301,"Before",M108)</f>
        <v>0.16318188097573763</v>
      </c>
      <c r="P108" s="30">
        <f ca="1">AVERAGEIF($N$2:$N$301,"During",M108)</f>
        <v>0.15116875507637664</v>
      </c>
      <c r="Q108" s="30">
        <f ca="1">(P108-O108)/O108</f>
        <v>-7.3618013394190107E-2</v>
      </c>
    </row>
    <row r="109" spans="1:17" ht="14.25" customHeight="1">
      <c r="A109" s="3" t="s">
        <v>221</v>
      </c>
      <c r="B109" s="3" t="s">
        <v>20</v>
      </c>
      <c r="C109" s="29" t="s">
        <v>222</v>
      </c>
      <c r="D109" s="3" t="s">
        <v>31</v>
      </c>
      <c r="E109" s="3" t="s">
        <v>46</v>
      </c>
      <c r="F109" s="12">
        <v>16430</v>
      </c>
      <c r="G109" s="12">
        <v>488</v>
      </c>
      <c r="H109" s="12">
        <v>514</v>
      </c>
      <c r="I109" s="12">
        <v>1436</v>
      </c>
      <c r="J109" s="13">
        <v>30059</v>
      </c>
      <c r="K109" s="12">
        <v>223305</v>
      </c>
      <c r="L109" s="3" t="s">
        <v>24</v>
      </c>
      <c r="M109" s="30">
        <f>(F109 + G109 + H109 ) / K109</f>
        <v>7.8063634938760881E-2</v>
      </c>
      <c r="N109" t="str">
        <f>IF(AND(C109&gt;=$T$3,C109&lt;=$U$3),"During","Before")</f>
        <v>Before</v>
      </c>
      <c r="O109" s="30">
        <f ca="1">AVERAGEIF($N$2:$N$301,"Before",M109)</f>
        <v>0.16338179119563812</v>
      </c>
      <c r="P109" s="30">
        <f ca="1">AVERAGEIF($N$2:$N$301,"During",M109)</f>
        <v>0.15254497620185586</v>
      </c>
      <c r="Q109" s="30">
        <f ca="1">(P109-O109)/O109</f>
        <v>-6.6328168607271129E-2</v>
      </c>
    </row>
    <row r="110" spans="1:17" ht="14.25" customHeight="1">
      <c r="A110" s="3" t="s">
        <v>223</v>
      </c>
      <c r="B110" s="3" t="s">
        <v>14</v>
      </c>
      <c r="C110" s="29" t="s">
        <v>224</v>
      </c>
      <c r="D110" s="3" t="s">
        <v>22</v>
      </c>
      <c r="E110" s="3" t="s">
        <v>17</v>
      </c>
      <c r="F110" s="12">
        <v>15746</v>
      </c>
      <c r="G110" s="12">
        <v>258</v>
      </c>
      <c r="H110" s="12">
        <v>839</v>
      </c>
      <c r="I110" s="12">
        <v>2656</v>
      </c>
      <c r="J110" s="13">
        <v>66614</v>
      </c>
      <c r="K110" s="12">
        <v>213724</v>
      </c>
      <c r="L110" s="3" t="s">
        <v>28</v>
      </c>
      <c r="M110" s="30">
        <f>(F110 + G110 + H110 ) / K110</f>
        <v>7.8807246729426739E-2</v>
      </c>
      <c r="N110" t="str">
        <f>IF(AND(C110&gt;=$T$4,C110&lt;=$U$4),"During","Before")</f>
        <v>Before</v>
      </c>
      <c r="O110" s="30">
        <f ca="1">AVERAGEIF($N$2:$N$301,"Before",M110)</f>
        <v>0.16344466008108527</v>
      </c>
      <c r="P110" s="30">
        <f ca="1">AVERAGEIF($N$2:$N$301,"During",M110)</f>
        <v>0.15443902834357853</v>
      </c>
      <c r="Q110" s="30">
        <f ca="1">(P110-O110)/O110</f>
        <v>-5.5098965809216541E-2</v>
      </c>
    </row>
    <row r="111" spans="1:17" ht="14.25" customHeight="1">
      <c r="A111" s="3" t="s">
        <v>225</v>
      </c>
      <c r="B111" s="3" t="s">
        <v>44</v>
      </c>
      <c r="C111" s="29" t="s">
        <v>226</v>
      </c>
      <c r="D111" s="3" t="s">
        <v>35</v>
      </c>
      <c r="E111" s="3" t="s">
        <v>36</v>
      </c>
      <c r="F111" s="12">
        <v>17679</v>
      </c>
      <c r="G111" s="12">
        <v>690</v>
      </c>
      <c r="H111" s="12">
        <v>451</v>
      </c>
      <c r="I111" s="12">
        <v>2195</v>
      </c>
      <c r="J111" s="13">
        <v>4390</v>
      </c>
      <c r="K111" s="12">
        <v>235804</v>
      </c>
      <c r="L111" s="3" t="s">
        <v>18</v>
      </c>
      <c r="M111" s="30">
        <f>(F111 + G111 + H111 ) / K111</f>
        <v>7.9812047293514959E-2</v>
      </c>
      <c r="N111" t="str">
        <f>IF(AND(C111&gt;=$T$2,C111&lt;=$U$2),"During","Before")</f>
        <v>Before</v>
      </c>
      <c r="O111" s="30">
        <f ca="1">AVERAGEIF($N$2:$N$301,"Before",M111)</f>
        <v>0.16335078361896629</v>
      </c>
      <c r="P111" s="30">
        <f ca="1">AVERAGEIF($N$2:$N$301,"During",M111)</f>
        <v>0.15690934732186931</v>
      </c>
      <c r="Q111" s="30">
        <f ca="1">(P111-O111)/O111</f>
        <v>-3.9433152106097887E-2</v>
      </c>
    </row>
    <row r="112" spans="1:17" ht="14.25" customHeight="1">
      <c r="A112" s="3" t="s">
        <v>227</v>
      </c>
      <c r="B112" s="3" t="s">
        <v>20</v>
      </c>
      <c r="C112" s="29">
        <v>45944</v>
      </c>
      <c r="D112" s="3" t="s">
        <v>16</v>
      </c>
      <c r="E112" s="3" t="s">
        <v>40</v>
      </c>
      <c r="F112" s="12">
        <v>9673</v>
      </c>
      <c r="G112" s="12">
        <v>393</v>
      </c>
      <c r="H112" s="12">
        <v>846</v>
      </c>
      <c r="I112" s="12">
        <v>1028</v>
      </c>
      <c r="J112" s="13">
        <v>55556</v>
      </c>
      <c r="K112" s="12">
        <v>136652</v>
      </c>
      <c r="L112" s="3" t="s">
        <v>37</v>
      </c>
      <c r="M112" s="30">
        <f>(F112 + G112 + H112 ) / K112</f>
        <v>7.9852471972601938E-2</v>
      </c>
      <c r="N112" t="str">
        <f>IF(AND(C112&gt;=$T$6,C112&lt;=$U$6),"During","Before")</f>
        <v>Before</v>
      </c>
      <c r="O112" s="30">
        <f ca="1">AVERAGEIF($N$2:$N$301,"Before",M112)</f>
        <v>0.16360718534357013</v>
      </c>
      <c r="P112" s="30">
        <f ca="1">AVERAGEIF($N$2:$N$301,"During",M112)</f>
        <v>0.15803630926274106</v>
      </c>
      <c r="Q112" s="30">
        <f ca="1">(P112-O112)/O112</f>
        <v>-3.4050314288644454E-2</v>
      </c>
    </row>
    <row r="113" spans="1:17" ht="14.25" customHeight="1">
      <c r="A113" s="3" t="s">
        <v>228</v>
      </c>
      <c r="B113" s="3" t="s">
        <v>44</v>
      </c>
      <c r="C113" s="29" t="s">
        <v>229</v>
      </c>
      <c r="D113" s="3" t="s">
        <v>16</v>
      </c>
      <c r="E113" s="3" t="s">
        <v>27</v>
      </c>
      <c r="F113" s="12">
        <v>10150</v>
      </c>
      <c r="G113" s="12">
        <v>526</v>
      </c>
      <c r="H113" s="12">
        <v>888</v>
      </c>
      <c r="I113" s="12">
        <v>1313</v>
      </c>
      <c r="J113" s="13">
        <v>51605</v>
      </c>
      <c r="K113" s="12">
        <v>143409</v>
      </c>
      <c r="L113" s="3" t="s">
        <v>33</v>
      </c>
      <c r="M113" s="30">
        <f>(F113 + G113 + H113 ) / K113</f>
        <v>8.0636501195880311E-2</v>
      </c>
      <c r="N113" s="8" t="str">
        <f>IF(AND(C113&gt;=$T$5,C113&lt;=$U$5),"During","Before")</f>
        <v>Before</v>
      </c>
      <c r="O113" s="30">
        <f ca="1">AVERAGEIF($N$2:$N$301,"Before",M113)</f>
        <v>0.16581971506594739</v>
      </c>
      <c r="P113" s="30">
        <f ca="1">AVERAGEIF($N$2:$N$301,"During",M113)</f>
        <v>0.15153129333796031</v>
      </c>
      <c r="Q113" s="30">
        <f ca="1">(P113-O113)/O113</f>
        <v>-8.6168413220976167E-2</v>
      </c>
    </row>
    <row r="114" spans="1:17" ht="14.25" customHeight="1">
      <c r="A114" s="3" t="s">
        <v>230</v>
      </c>
      <c r="B114" s="3" t="s">
        <v>20</v>
      </c>
      <c r="C114" s="29" t="s">
        <v>231</v>
      </c>
      <c r="D114" s="3" t="s">
        <v>22</v>
      </c>
      <c r="E114" s="3" t="s">
        <v>103</v>
      </c>
      <c r="F114" s="12">
        <v>9561</v>
      </c>
      <c r="G114" s="12">
        <v>642</v>
      </c>
      <c r="H114" s="12">
        <v>581</v>
      </c>
      <c r="I114" s="12">
        <v>2572</v>
      </c>
      <c r="J114" s="13">
        <v>38552</v>
      </c>
      <c r="K114" s="12">
        <v>133680</v>
      </c>
      <c r="L114" s="3" t="s">
        <v>33</v>
      </c>
      <c r="M114" s="30">
        <f>(F114 + G114 + H114 ) / K114</f>
        <v>8.0670257330939563E-2</v>
      </c>
      <c r="N114" s="8" t="str">
        <f>IF(AND(C114&gt;=$T$5,C114&lt;=$U$5),"During","Before")</f>
        <v>During</v>
      </c>
      <c r="O114" s="30">
        <f ca="1">AVERAGEIF($N$2:$N$301,"Before",M114)</f>
        <v>0.16609299776127603</v>
      </c>
      <c r="P114" s="30">
        <f ca="1">AVERAGEIF($N$2:$N$301,"During",M114)</f>
        <v>0.15267139826786036</v>
      </c>
      <c r="Q114" s="30">
        <f ca="1">(P114-O114)/O114</f>
        <v>-8.0807738281094901E-2</v>
      </c>
    </row>
    <row r="115" spans="1:17" ht="14.25" customHeight="1">
      <c r="A115" s="3" t="s">
        <v>232</v>
      </c>
      <c r="B115" s="3" t="s">
        <v>14</v>
      </c>
      <c r="C115" s="29">
        <v>45938</v>
      </c>
      <c r="D115" s="3" t="s">
        <v>35</v>
      </c>
      <c r="E115" s="3" t="s">
        <v>17</v>
      </c>
      <c r="F115" s="12">
        <v>17745</v>
      </c>
      <c r="G115" s="12">
        <v>414</v>
      </c>
      <c r="H115" s="12">
        <v>563</v>
      </c>
      <c r="I115" s="12">
        <v>2733</v>
      </c>
      <c r="J115" s="13">
        <v>995</v>
      </c>
      <c r="K115" s="12">
        <v>231648</v>
      </c>
      <c r="L115" s="3" t="s">
        <v>37</v>
      </c>
      <c r="M115" s="30">
        <f>(F115 + G115 + H115 ) / K115</f>
        <v>8.0820900676889074E-2</v>
      </c>
      <c r="N115" t="str">
        <f>IF(AND(C115&gt;=$T$6,C115&lt;=$U$6),"During","Before")</f>
        <v>Before</v>
      </c>
      <c r="O115" s="30">
        <f ca="1">AVERAGEIF($N$2:$N$301,"Before",M115)</f>
        <v>0.16627670422162436</v>
      </c>
      <c r="P115" s="30">
        <f ca="1">AVERAGEIF($N$2:$N$301,"During",M115)</f>
        <v>0.15416458248064957</v>
      </c>
      <c r="Q115" s="30">
        <f ca="1">(P115-O115)/O115</f>
        <v>-7.2843167042996981E-2</v>
      </c>
    </row>
    <row r="116" spans="1:17" ht="14.25" customHeight="1">
      <c r="A116" s="3" t="s">
        <v>233</v>
      </c>
      <c r="B116" s="3" t="s">
        <v>62</v>
      </c>
      <c r="C116" s="29">
        <v>45939</v>
      </c>
      <c r="D116" s="3" t="s">
        <v>16</v>
      </c>
      <c r="E116" s="3" t="s">
        <v>60</v>
      </c>
      <c r="F116" s="12">
        <v>18748</v>
      </c>
      <c r="G116" s="12">
        <v>634</v>
      </c>
      <c r="H116" s="12">
        <v>400</v>
      </c>
      <c r="I116" s="12">
        <v>1667</v>
      </c>
      <c r="J116" s="13">
        <v>75813</v>
      </c>
      <c r="K116" s="12">
        <v>244456</v>
      </c>
      <c r="L116" s="3" t="s">
        <v>37</v>
      </c>
      <c r="M116" s="30">
        <f>(F116 + G116 + H116 ) / K116</f>
        <v>8.0922538207284747E-2</v>
      </c>
      <c r="N116" t="str">
        <f>IF(AND(C116&gt;=$T$6,C116&lt;=$U$6),"During","Before")</f>
        <v>Before</v>
      </c>
      <c r="O116" s="30">
        <f ca="1">AVERAGEIF($N$2:$N$301,"Before",M116)</f>
        <v>0.16635026302872211</v>
      </c>
      <c r="P116" s="30">
        <f ca="1">AVERAGEIF($N$2:$N$301,"During",M116)</f>
        <v>0.15607849681145394</v>
      </c>
      <c r="Q116" s="30">
        <f ca="1">(P116-O116)/O116</f>
        <v>-6.1747820714263831E-2</v>
      </c>
    </row>
    <row r="117" spans="1:17" ht="14.25" customHeight="1">
      <c r="A117" s="3" t="s">
        <v>234</v>
      </c>
      <c r="B117" s="3" t="s">
        <v>44</v>
      </c>
      <c r="C117" s="29" t="s">
        <v>235</v>
      </c>
      <c r="D117" s="3" t="s">
        <v>31</v>
      </c>
      <c r="E117" s="3" t="s">
        <v>17</v>
      </c>
      <c r="F117" s="12">
        <v>14015</v>
      </c>
      <c r="G117" s="12">
        <v>978</v>
      </c>
      <c r="H117" s="12">
        <v>196</v>
      </c>
      <c r="I117" s="12">
        <v>2744</v>
      </c>
      <c r="J117" s="13">
        <v>20190</v>
      </c>
      <c r="K117" s="12">
        <v>186470</v>
      </c>
      <c r="L117" s="3" t="s">
        <v>28</v>
      </c>
      <c r="M117" s="30">
        <f>(F117 + G117 + H117 ) / K117</f>
        <v>8.1455462004611998E-2</v>
      </c>
      <c r="N117" t="str">
        <f>IF(AND(C117&gt;=$T$4,C117&lt;=$U$4),"During","Before")</f>
        <v>Before</v>
      </c>
      <c r="O117" s="30">
        <f ca="1">AVERAGEIF($N$2:$N$301,"Before",M117)</f>
        <v>0.16639280643297094</v>
      </c>
      <c r="P117" s="30">
        <f ca="1">AVERAGEIF($N$2:$N$301,"During",M117)</f>
        <v>0.15810968624225163</v>
      </c>
      <c r="Q117" s="30">
        <f ca="1">(P117-O117)/O117</f>
        <v>-4.9780518571011949E-2</v>
      </c>
    </row>
    <row r="118" spans="1:17" ht="14.25" customHeight="1">
      <c r="A118" s="3" t="s">
        <v>236</v>
      </c>
      <c r="B118" s="3" t="s">
        <v>20</v>
      </c>
      <c r="C118" s="29">
        <v>45925</v>
      </c>
      <c r="D118" s="3" t="s">
        <v>22</v>
      </c>
      <c r="E118" s="3" t="s">
        <v>40</v>
      </c>
      <c r="F118" s="12">
        <v>8371</v>
      </c>
      <c r="G118" s="12">
        <v>960</v>
      </c>
      <c r="H118" s="12">
        <v>548</v>
      </c>
      <c r="I118" s="12">
        <v>2936</v>
      </c>
      <c r="J118" s="13">
        <v>82543</v>
      </c>
      <c r="K118" s="12">
        <v>119973</v>
      </c>
      <c r="L118" s="3" t="s">
        <v>37</v>
      </c>
      <c r="M118" s="30">
        <f>(F118 + G118 + H118 ) / K118</f>
        <v>8.2343527293641069E-2</v>
      </c>
      <c r="N118" t="str">
        <f>IF(AND(C118&gt;=$T$6,C118&lt;=$U$6),"During","Before")</f>
        <v>During</v>
      </c>
      <c r="O118" s="30">
        <f ca="1">AVERAGEIF($N$2:$N$301,"Before",M118)</f>
        <v>0.1666009471082939</v>
      </c>
      <c r="P118" s="30">
        <f ca="1">AVERAGEIF($N$2:$N$301,"During",M118)</f>
        <v>0.15951371051164978</v>
      </c>
      <c r="Q118" s="30">
        <f ca="1">(P118-O118)/O118</f>
        <v>-4.2540193916408391E-2</v>
      </c>
    </row>
    <row r="119" spans="1:17" ht="14.25" customHeight="1">
      <c r="A119" s="3" t="s">
        <v>237</v>
      </c>
      <c r="B119" s="3" t="s">
        <v>44</v>
      </c>
      <c r="C119" s="29" t="s">
        <v>238</v>
      </c>
      <c r="D119" s="3" t="s">
        <v>22</v>
      </c>
      <c r="E119" s="3" t="s">
        <v>46</v>
      </c>
      <c r="F119" s="12">
        <v>18639</v>
      </c>
      <c r="G119" s="12">
        <v>1360</v>
      </c>
      <c r="H119" s="12">
        <v>898</v>
      </c>
      <c r="I119" s="12">
        <v>2011</v>
      </c>
      <c r="J119" s="13">
        <v>23275</v>
      </c>
      <c r="K119" s="12">
        <v>247779</v>
      </c>
      <c r="L119" s="3" t="s">
        <v>24</v>
      </c>
      <c r="M119" s="30">
        <f>(F119 + G119 + H119 ) / K119</f>
        <v>8.4337252148083575E-2</v>
      </c>
      <c r="N119" t="str">
        <f>IF(AND(C119&gt;=$T$3,C119&lt;=$U$3),"During","Before")</f>
        <v>Before</v>
      </c>
      <c r="O119" s="30">
        <f ca="1">AVERAGEIF($N$2:$N$301,"Before",M119)</f>
        <v>0.16903604415956336</v>
      </c>
      <c r="P119" s="30">
        <f ca="1">AVERAGEIF($N$2:$N$301,"During",M119)</f>
        <v>0.15225268711122703</v>
      </c>
      <c r="Q119" s="30">
        <f ca="1">(P119-O119)/O119</f>
        <v>-9.9288628835241241E-2</v>
      </c>
    </row>
    <row r="120" spans="1:17" ht="14.25" customHeight="1">
      <c r="A120" s="3" t="s">
        <v>239</v>
      </c>
      <c r="B120" s="3" t="s">
        <v>44</v>
      </c>
      <c r="C120" s="29" t="s">
        <v>240</v>
      </c>
      <c r="D120" s="3" t="s">
        <v>31</v>
      </c>
      <c r="E120" s="3" t="s">
        <v>27</v>
      </c>
      <c r="F120" s="12">
        <v>10837</v>
      </c>
      <c r="G120" s="12">
        <v>1004</v>
      </c>
      <c r="H120" s="12">
        <v>922</v>
      </c>
      <c r="I120" s="12">
        <v>1108</v>
      </c>
      <c r="J120" s="13">
        <v>36807</v>
      </c>
      <c r="K120" s="12">
        <v>150350</v>
      </c>
      <c r="L120" s="3" t="s">
        <v>28</v>
      </c>
      <c r="M120" s="30">
        <f>(F120 + G120 + H120 ) / K120</f>
        <v>8.4888593282341204E-2</v>
      </c>
      <c r="N120" t="str">
        <f>IF(AND(C120&gt;=$T$4,C120&lt;=$U$4),"During","Before")</f>
        <v>Before</v>
      </c>
      <c r="O120" s="30">
        <f ca="1">AVERAGEIF($N$2:$N$301,"Before",M120)</f>
        <v>0.16909558833309349</v>
      </c>
      <c r="P120" s="30">
        <f ca="1">AVERAGEIF($N$2:$N$301,"During",M120)</f>
        <v>0.15425596161183613</v>
      </c>
      <c r="Q120" s="30">
        <f ca="1">(P120-O120)/O120</f>
        <v>-8.7758804753826386E-2</v>
      </c>
    </row>
    <row r="121" spans="1:17" ht="14.25" customHeight="1">
      <c r="A121" s="3" t="s">
        <v>241</v>
      </c>
      <c r="B121" s="3" t="s">
        <v>44</v>
      </c>
      <c r="C121" s="29" t="s">
        <v>242</v>
      </c>
      <c r="D121" s="3" t="s">
        <v>35</v>
      </c>
      <c r="E121" s="3" t="s">
        <v>67</v>
      </c>
      <c r="F121" s="12">
        <v>10258</v>
      </c>
      <c r="G121" s="12">
        <v>527</v>
      </c>
      <c r="H121" s="12">
        <v>854</v>
      </c>
      <c r="I121" s="12">
        <v>2068</v>
      </c>
      <c r="J121" s="13">
        <v>45632</v>
      </c>
      <c r="K121" s="12">
        <v>136546</v>
      </c>
      <c r="L121" s="3" t="s">
        <v>18</v>
      </c>
      <c r="M121" s="30">
        <f>(F121 + G121 + H121 ) / K121</f>
        <v>8.5238674146441498E-2</v>
      </c>
      <c r="N121" t="str">
        <f>IF(AND(C121&gt;=$T$2,C121&lt;=$U$2),"During","Before")</f>
        <v>Before</v>
      </c>
      <c r="O121" s="30">
        <f ca="1">AVERAGEIF($N$2:$N$301,"Before",M121)</f>
        <v>0.16927998965273158</v>
      </c>
      <c r="P121" s="30">
        <f ca="1">AVERAGEIF($N$2:$N$301,"During",M121)</f>
        <v>0.15577800388400731</v>
      </c>
      <c r="Q121" s="30">
        <f ca="1">(P121-O121)/O121</f>
        <v>-7.9761262960984583E-2</v>
      </c>
    </row>
    <row r="122" spans="1:17" ht="14.25" customHeight="1">
      <c r="A122" s="3" t="s">
        <v>243</v>
      </c>
      <c r="B122" s="3" t="s">
        <v>14</v>
      </c>
      <c r="C122" s="29">
        <v>45909</v>
      </c>
      <c r="D122" s="3" t="s">
        <v>22</v>
      </c>
      <c r="E122" s="3" t="s">
        <v>46</v>
      </c>
      <c r="F122" s="12">
        <v>15772</v>
      </c>
      <c r="G122" s="12">
        <v>288</v>
      </c>
      <c r="H122" s="12">
        <v>520</v>
      </c>
      <c r="I122" s="12">
        <v>1585</v>
      </c>
      <c r="J122" s="13">
        <v>59182</v>
      </c>
      <c r="K122" s="12">
        <v>194351</v>
      </c>
      <c r="L122" s="3" t="s">
        <v>37</v>
      </c>
      <c r="M122" s="30">
        <f>(F122 + G122 + H122 ) / K122</f>
        <v>8.5309568769905988E-2</v>
      </c>
      <c r="N122" t="str">
        <f>IF(AND(C122&gt;=$T$6,C122&lt;=$U$6),"During","Before")</f>
        <v>During</v>
      </c>
      <c r="O122" s="30">
        <f ca="1">AVERAGEIF($N$2:$N$301,"Before",M122)</f>
        <v>0.1693869223626541</v>
      </c>
      <c r="P122" s="30">
        <f ca="1">AVERAGEIF($N$2:$N$301,"During",M122)</f>
        <v>0.15759002679709405</v>
      </c>
      <c r="Q122" s="30">
        <f ca="1">(P122-O122)/O122</f>
        <v>-6.9644665603541239E-2</v>
      </c>
    </row>
    <row r="123" spans="1:17" ht="14.25" customHeight="1">
      <c r="A123" s="3" t="s">
        <v>244</v>
      </c>
      <c r="B123" s="3" t="s">
        <v>14</v>
      </c>
      <c r="C123" s="29" t="s">
        <v>245</v>
      </c>
      <c r="D123" s="3" t="s">
        <v>16</v>
      </c>
      <c r="E123" s="3" t="s">
        <v>36</v>
      </c>
      <c r="F123" s="12">
        <v>16309</v>
      </c>
      <c r="G123" s="12">
        <v>1449</v>
      </c>
      <c r="H123" s="12">
        <v>838</v>
      </c>
      <c r="I123" s="12">
        <v>2434</v>
      </c>
      <c r="J123" s="13">
        <v>2940</v>
      </c>
      <c r="K123" s="12">
        <v>217953</v>
      </c>
      <c r="L123" s="3" t="s">
        <v>24</v>
      </c>
      <c r="M123" s="30">
        <f>(F123 + G123 + H123 ) / K123</f>
        <v>8.5321147219813445E-2</v>
      </c>
      <c r="N123" t="str">
        <f>IF(AND(C123&gt;=$T$3,C123&lt;=$U$3),"During","Before")</f>
        <v>Before</v>
      </c>
      <c r="O123" s="30">
        <f ca="1">AVERAGEIF($N$2:$N$301,"Before",M123)</f>
        <v>0.16961463648937578</v>
      </c>
      <c r="P123" s="30">
        <f ca="1">AVERAGEIF($N$2:$N$301,"During",M123)</f>
        <v>0.15895764947406743</v>
      </c>
      <c r="Q123" s="30">
        <f ca="1">(P123-O123)/O123</f>
        <v>-6.2830586061927915E-2</v>
      </c>
    </row>
    <row r="124" spans="1:17" ht="14.25" customHeight="1">
      <c r="A124" s="3" t="s">
        <v>246</v>
      </c>
      <c r="B124" s="3" t="s">
        <v>20</v>
      </c>
      <c r="C124" s="29" t="s">
        <v>30</v>
      </c>
      <c r="D124" s="3" t="s">
        <v>16</v>
      </c>
      <c r="E124" s="3" t="s">
        <v>103</v>
      </c>
      <c r="F124" s="12">
        <v>6976</v>
      </c>
      <c r="G124" s="12">
        <v>1320</v>
      </c>
      <c r="H124" s="12">
        <v>393</v>
      </c>
      <c r="I124" s="12">
        <v>2285</v>
      </c>
      <c r="J124" s="13">
        <v>14049</v>
      </c>
      <c r="K124" s="12">
        <v>101367</v>
      </c>
      <c r="L124" s="3" t="s">
        <v>18</v>
      </c>
      <c r="M124" s="30">
        <f>(F124 + G124 + H124 ) / K124</f>
        <v>8.5718231771681114E-2</v>
      </c>
      <c r="N124" t="str">
        <f>IF(AND(C124&gt;=$T$2,C124&lt;=$U$2),"During","Before")</f>
        <v>During</v>
      </c>
      <c r="O124" s="30">
        <f ca="1">AVERAGEIF($N$2:$N$301,"Before",M124)</f>
        <v>0.16977725459912918</v>
      </c>
      <c r="P124" s="30">
        <f ca="1">AVERAGEIF($N$2:$N$301,"During",M124)</f>
        <v>0.1605767798399643</v>
      </c>
      <c r="Q124" s="30">
        <f ca="1">(P124-O124)/O124</f>
        <v>-5.4191445025357804E-2</v>
      </c>
    </row>
    <row r="125" spans="1:17" ht="14.25" customHeight="1">
      <c r="A125" s="3" t="s">
        <v>247</v>
      </c>
      <c r="B125" s="3" t="s">
        <v>44</v>
      </c>
      <c r="C125" s="29" t="s">
        <v>248</v>
      </c>
      <c r="D125" s="3" t="s">
        <v>22</v>
      </c>
      <c r="E125" s="3" t="s">
        <v>88</v>
      </c>
      <c r="F125" s="12">
        <v>19154</v>
      </c>
      <c r="G125" s="12">
        <v>1064</v>
      </c>
      <c r="H125" s="12">
        <v>650</v>
      </c>
      <c r="I125" s="12">
        <v>747</v>
      </c>
      <c r="J125" s="13">
        <v>42667</v>
      </c>
      <c r="K125" s="12">
        <v>242332</v>
      </c>
      <c r="L125" s="3" t="s">
        <v>28</v>
      </c>
      <c r="M125" s="30">
        <f>(F125 + G125 + H125 ) / K125</f>
        <v>8.6113266097750191E-2</v>
      </c>
      <c r="N125" t="str">
        <f>IF(AND(C125&gt;=$T$4,C125&lt;=$U$4),"During","Before")</f>
        <v>Before</v>
      </c>
      <c r="O125" s="30">
        <f ca="1">AVERAGEIF($N$2:$N$301,"Before",M125)</f>
        <v>0.16996229100732674</v>
      </c>
      <c r="P125" s="30">
        <f ca="1">AVERAGEIF($N$2:$N$301,"During",M125)</f>
        <v>0.16211201568438502</v>
      </c>
      <c r="Q125" s="30">
        <f ca="1">(P125-O125)/O125</f>
        <v>-4.6188335520867443E-2</v>
      </c>
    </row>
    <row r="126" spans="1:17" ht="14.25" customHeight="1">
      <c r="A126" s="3" t="s">
        <v>249</v>
      </c>
      <c r="B126" s="3" t="s">
        <v>62</v>
      </c>
      <c r="C126" s="29">
        <v>45912</v>
      </c>
      <c r="D126" s="3" t="s">
        <v>35</v>
      </c>
      <c r="E126" s="3" t="s">
        <v>60</v>
      </c>
      <c r="F126" s="12">
        <v>17158</v>
      </c>
      <c r="G126" s="12">
        <v>1192</v>
      </c>
      <c r="H126" s="12">
        <v>262</v>
      </c>
      <c r="I126" s="12">
        <v>2016</v>
      </c>
      <c r="J126" s="13">
        <v>28771</v>
      </c>
      <c r="K126" s="12">
        <v>216037</v>
      </c>
      <c r="L126" s="3" t="s">
        <v>37</v>
      </c>
      <c r="M126" s="30">
        <f>(F126 + G126 + H126 ) / K126</f>
        <v>8.6151909163708074E-2</v>
      </c>
      <c r="N126" t="str">
        <f>IF(AND(C126&gt;=$T$6,C126&lt;=$U$6),"During","Before")</f>
        <v>During</v>
      </c>
      <c r="O126" s="30">
        <f ca="1">AVERAGEIF($N$2:$N$301,"Before",M126)</f>
        <v>0.17007813051035145</v>
      </c>
      <c r="P126" s="30">
        <f ca="1">AVERAGEIF($N$2:$N$301,"During",M126)</f>
        <v>0.16389788867102117</v>
      </c>
      <c r="Q126" s="30">
        <f ca="1">(P126-O126)/O126</f>
        <v>-3.6337663289132446E-2</v>
      </c>
    </row>
    <row r="127" spans="1:17" ht="14.25" customHeight="1">
      <c r="A127" s="3" t="s">
        <v>250</v>
      </c>
      <c r="B127" s="3" t="s">
        <v>14</v>
      </c>
      <c r="C127" s="29">
        <v>45910</v>
      </c>
      <c r="D127" s="3" t="s">
        <v>16</v>
      </c>
      <c r="E127" s="3" t="s">
        <v>51</v>
      </c>
      <c r="F127" s="12">
        <v>9266</v>
      </c>
      <c r="G127" s="12">
        <v>999</v>
      </c>
      <c r="H127" s="12">
        <v>928</v>
      </c>
      <c r="I127" s="12">
        <v>2700</v>
      </c>
      <c r="J127" s="13">
        <v>12264</v>
      </c>
      <c r="K127" s="12">
        <v>128397</v>
      </c>
      <c r="L127" s="3" t="s">
        <v>37</v>
      </c>
      <c r="M127" s="30">
        <f>(F127 + G127 + H127 ) / K127</f>
        <v>8.7174933993784898E-2</v>
      </c>
      <c r="N127" t="str">
        <f>IF(AND(C127&gt;=$T$6,C127&lt;=$U$6),"During","Before")</f>
        <v>During</v>
      </c>
      <c r="O127" s="30">
        <f ca="1">AVERAGEIF($N$2:$N$301,"Before",M127)</f>
        <v>0.1702059478229429</v>
      </c>
      <c r="P127" s="30">
        <f ca="1">AVERAGEIF($N$2:$N$301,"During",M127)</f>
        <v>0.16564565839527415</v>
      </c>
      <c r="Q127" s="30">
        <f ca="1">(P127-O127)/O127</f>
        <v>-2.679277361336754E-2</v>
      </c>
    </row>
    <row r="128" spans="1:17" ht="14.25" customHeight="1">
      <c r="A128" s="3" t="s">
        <v>251</v>
      </c>
      <c r="B128" s="3" t="s">
        <v>44</v>
      </c>
      <c r="C128" s="29" t="s">
        <v>73</v>
      </c>
      <c r="D128" s="3" t="s">
        <v>16</v>
      </c>
      <c r="E128" s="3" t="s">
        <v>23</v>
      </c>
      <c r="F128" s="12">
        <v>13314</v>
      </c>
      <c r="G128" s="12">
        <v>274</v>
      </c>
      <c r="H128" s="12">
        <v>626</v>
      </c>
      <c r="I128" s="12">
        <v>2280</v>
      </c>
      <c r="J128" s="13">
        <v>14639</v>
      </c>
      <c r="K128" s="12">
        <v>163008</v>
      </c>
      <c r="L128" s="3" t="s">
        <v>24</v>
      </c>
      <c r="M128" s="30">
        <f>(F128 + G128 + H128 ) / K128</f>
        <v>8.7198174322732622E-2</v>
      </c>
      <c r="N128" t="str">
        <f>IF(AND(C128&gt;=$T$3,C128&lt;=$U$3),"During","Before")</f>
        <v>Before</v>
      </c>
      <c r="O128" s="30">
        <f ca="1">AVERAGEIF($N$2:$N$301,"Before",M128)</f>
        <v>0.17032796736910286</v>
      </c>
      <c r="P128" s="30">
        <f ca="1">AVERAGEIF($N$2:$N$301,"During",M128)</f>
        <v>0.16739398354136373</v>
      </c>
      <c r="Q128" s="30">
        <f ca="1">(P128-O128)/O128</f>
        <v>-1.7225496628989579E-2</v>
      </c>
    </row>
    <row r="129" spans="1:17" ht="14.25" customHeight="1">
      <c r="A129" s="3" t="s">
        <v>252</v>
      </c>
      <c r="B129" s="3" t="s">
        <v>62</v>
      </c>
      <c r="C129" s="29" t="s">
        <v>253</v>
      </c>
      <c r="D129" s="3" t="s">
        <v>31</v>
      </c>
      <c r="E129" s="3" t="s">
        <v>51</v>
      </c>
      <c r="F129" s="12">
        <v>10512</v>
      </c>
      <c r="G129" s="12">
        <v>1197</v>
      </c>
      <c r="H129" s="12">
        <v>544</v>
      </c>
      <c r="I129" s="12">
        <v>2012</v>
      </c>
      <c r="J129" s="13">
        <v>10245</v>
      </c>
      <c r="K129" s="12">
        <v>140102</v>
      </c>
      <c r="L129" s="3" t="s">
        <v>33</v>
      </c>
      <c r="M129" s="30">
        <f>(F129 + G129 + H129 ) / K129</f>
        <v>8.745770938316369E-2</v>
      </c>
      <c r="N129" s="8" t="str">
        <f>IF(AND(C129&gt;=$T$5,C129&lt;=$U$5),"During","Before")</f>
        <v>Before</v>
      </c>
      <c r="O129" s="30">
        <f ca="1">AVERAGEIF($N$2:$N$301,"Before",M129)</f>
        <v>0.1703297722192266</v>
      </c>
      <c r="P129" s="30">
        <f ca="1">AVERAGEIF($N$2:$N$301,"During",M129)</f>
        <v>0.16957519770661791</v>
      </c>
      <c r="Q129" s="30">
        <f ca="1">(P129-O129)/O129</f>
        <v>-4.4300799723814236E-3</v>
      </c>
    </row>
    <row r="130" spans="1:17" ht="14.25" customHeight="1">
      <c r="A130" s="3" t="s">
        <v>254</v>
      </c>
      <c r="B130" s="3" t="s">
        <v>14</v>
      </c>
      <c r="C130" s="29" t="s">
        <v>131</v>
      </c>
      <c r="D130" s="3" t="s">
        <v>22</v>
      </c>
      <c r="E130" s="3" t="s">
        <v>17</v>
      </c>
      <c r="F130" s="12">
        <v>12015</v>
      </c>
      <c r="G130" s="12">
        <v>1196</v>
      </c>
      <c r="H130" s="12">
        <v>998</v>
      </c>
      <c r="I130" s="12">
        <v>1848</v>
      </c>
      <c r="J130" s="13">
        <v>44739</v>
      </c>
      <c r="K130" s="12">
        <v>161750</v>
      </c>
      <c r="L130" s="3" t="s">
        <v>18</v>
      </c>
      <c r="M130" s="30">
        <f>(F130 + G130 + H130 ) / K130</f>
        <v>8.7845440494590421E-2</v>
      </c>
      <c r="N130" t="str">
        <f>IF(AND(C130&gt;=$T$2,C130&lt;=$U$2),"During","Before")</f>
        <v>Before</v>
      </c>
      <c r="O130" s="30">
        <f ca="1">AVERAGEIF($N$2:$N$301,"Before",M130)</f>
        <v>0.17045647882095177</v>
      </c>
      <c r="P130" s="30">
        <f ca="1">AVERAGEIF($N$2:$N$301,"During",M130)</f>
        <v>0.17130923397516781</v>
      </c>
      <c r="Q130" s="30">
        <f ca="1">(P130-O130)/O130</f>
        <v>5.0027734945280499E-3</v>
      </c>
    </row>
    <row r="131" spans="1:17" ht="14.25" customHeight="1">
      <c r="A131" s="3" t="s">
        <v>255</v>
      </c>
      <c r="B131" s="3" t="s">
        <v>20</v>
      </c>
      <c r="C131" s="29" t="s">
        <v>256</v>
      </c>
      <c r="D131" s="3" t="s">
        <v>16</v>
      </c>
      <c r="E131" s="3" t="s">
        <v>67</v>
      </c>
      <c r="F131" s="12">
        <v>8949</v>
      </c>
      <c r="G131" s="12">
        <v>1477</v>
      </c>
      <c r="H131" s="12">
        <v>424</v>
      </c>
      <c r="I131" s="12">
        <v>1030</v>
      </c>
      <c r="J131" s="13">
        <v>58052</v>
      </c>
      <c r="K131" s="12">
        <v>123310</v>
      </c>
      <c r="L131" s="3" t="s">
        <v>33</v>
      </c>
      <c r="M131" s="30">
        <f>(F131 + G131 + H131 ) / K131</f>
        <v>8.7989619657773091E-2</v>
      </c>
      <c r="N131" s="8" t="str">
        <f>IF(AND(C131&gt;=$T$5,C131&lt;=$U$5),"During","Before")</f>
        <v>Before</v>
      </c>
      <c r="O131" s="30">
        <f ca="1">AVERAGEIF($N$2:$N$301,"Before",M131)</f>
        <v>0.17051468851184221</v>
      </c>
      <c r="P131" s="30">
        <f ca="1">AVERAGEIF($N$2:$N$301,"During",M131)</f>
        <v>0.17327947474984998</v>
      </c>
      <c r="Q131" s="30">
        <f ca="1">(P131-O131)/O131</f>
        <v>1.6214358200676404E-2</v>
      </c>
    </row>
    <row r="132" spans="1:17" ht="14.25" customHeight="1">
      <c r="A132" s="3" t="s">
        <v>257</v>
      </c>
      <c r="B132" s="3" t="s">
        <v>14</v>
      </c>
      <c r="C132" s="29">
        <v>45903</v>
      </c>
      <c r="D132" s="3" t="s">
        <v>31</v>
      </c>
      <c r="E132" s="3" t="s">
        <v>36</v>
      </c>
      <c r="F132" s="12">
        <v>4779</v>
      </c>
      <c r="G132" s="12">
        <v>1110</v>
      </c>
      <c r="H132" s="12">
        <v>436</v>
      </c>
      <c r="I132" s="12">
        <v>1574</v>
      </c>
      <c r="J132" s="13">
        <v>23275</v>
      </c>
      <c r="K132" s="12">
        <v>71585</v>
      </c>
      <c r="L132" s="3" t="s">
        <v>37</v>
      </c>
      <c r="M132" s="30">
        <f>(F132 + G132 + H132 ) / K132</f>
        <v>8.8356499266606131E-2</v>
      </c>
      <c r="N132" t="str">
        <f>IF(AND(C132&gt;=$T$6,C132&lt;=$U$6),"During","Before")</f>
        <v>During</v>
      </c>
      <c r="O132" s="30">
        <f ca="1">AVERAGEIF($N$2:$N$301,"Before",M132)</f>
        <v>0.17061992450466551</v>
      </c>
      <c r="P132" s="30">
        <f ca="1">AVERAGEIF($N$2:$N$301,"During",M132)</f>
        <v>0.17508563048146594</v>
      </c>
      <c r="Q132" s="30">
        <f ca="1">(P132-O132)/O132</f>
        <v>2.6173414328748694E-2</v>
      </c>
    </row>
    <row r="133" spans="1:17" ht="14.25" customHeight="1">
      <c r="A133" s="3" t="s">
        <v>258</v>
      </c>
      <c r="B133" s="3" t="s">
        <v>44</v>
      </c>
      <c r="C133" s="29" t="s">
        <v>259</v>
      </c>
      <c r="D133" s="3" t="s">
        <v>31</v>
      </c>
      <c r="E133" s="3" t="s">
        <v>17</v>
      </c>
      <c r="F133" s="12">
        <v>17034</v>
      </c>
      <c r="G133" s="12">
        <v>231</v>
      </c>
      <c r="H133" s="12">
        <v>290</v>
      </c>
      <c r="I133" s="12">
        <v>1387</v>
      </c>
      <c r="J133" s="13">
        <v>63550</v>
      </c>
      <c r="K133" s="12">
        <v>198280</v>
      </c>
      <c r="L133" s="3" t="s">
        <v>18</v>
      </c>
      <c r="M133" s="30">
        <f>(F133 + G133 + H133 ) / K133</f>
        <v>8.8536413153116805E-2</v>
      </c>
      <c r="N133" t="str">
        <f>IF(AND(C133&gt;=$T$2,C133&lt;=$U$2),"During","Before")</f>
        <v>During</v>
      </c>
      <c r="O133" s="30">
        <f ca="1">AVERAGEIF($N$2:$N$301,"Before",M133)</f>
        <v>0.17059441682451765</v>
      </c>
      <c r="P133" s="30">
        <f ca="1">AVERAGEIF($N$2:$N$301,"During",M133)</f>
        <v>0.17733839183245093</v>
      </c>
      <c r="Q133" s="30">
        <f ca="1">(P133-O133)/O133</f>
        <v>3.953221408688002E-2</v>
      </c>
    </row>
    <row r="134" spans="1:17" ht="14.25" customHeight="1">
      <c r="A134" s="3" t="s">
        <v>260</v>
      </c>
      <c r="B134" s="3" t="s">
        <v>62</v>
      </c>
      <c r="C134" s="29" t="s">
        <v>261</v>
      </c>
      <c r="D134" s="3" t="s">
        <v>22</v>
      </c>
      <c r="E134" s="3" t="s">
        <v>67</v>
      </c>
      <c r="F134" s="12">
        <v>17385</v>
      </c>
      <c r="G134" s="12">
        <v>831</v>
      </c>
      <c r="H134" s="12">
        <v>568</v>
      </c>
      <c r="I134" s="12">
        <v>2227</v>
      </c>
      <c r="J134" s="13">
        <v>49351</v>
      </c>
      <c r="K134" s="12">
        <v>207450</v>
      </c>
      <c r="L134" s="3" t="s">
        <v>28</v>
      </c>
      <c r="M134" s="30">
        <f>(F134 + G134 + H134 ) / K134</f>
        <v>9.0547119787900698E-2</v>
      </c>
      <c r="N134" t="str">
        <f>IF(AND(C134&gt;=$T$4,C134&lt;=$U$4),"During","Before")</f>
        <v>Before</v>
      </c>
      <c r="O134" s="30">
        <f ca="1">AVERAGEIF($N$2:$N$301,"Before",M134)</f>
        <v>0.17045087931943315</v>
      </c>
      <c r="P134" s="30">
        <f ca="1">AVERAGEIF($N$2:$N$301,"During",M134)</f>
        <v>0.17998886234119782</v>
      </c>
      <c r="Q134" s="30">
        <f ca="1">(P134-O134)/O134</f>
        <v>5.5957370591735313E-2</v>
      </c>
    </row>
    <row r="135" spans="1:17" ht="14.25" customHeight="1">
      <c r="A135" s="3" t="s">
        <v>262</v>
      </c>
      <c r="B135" s="3" t="s">
        <v>14</v>
      </c>
      <c r="C135" s="29" t="s">
        <v>263</v>
      </c>
      <c r="D135" s="3" t="s">
        <v>35</v>
      </c>
      <c r="E135" s="3" t="s">
        <v>67</v>
      </c>
      <c r="F135" s="12">
        <v>14775</v>
      </c>
      <c r="G135" s="12">
        <v>1220</v>
      </c>
      <c r="H135" s="12">
        <v>640</v>
      </c>
      <c r="I135" s="12">
        <v>1547</v>
      </c>
      <c r="J135" s="13">
        <v>28527</v>
      </c>
      <c r="K135" s="12">
        <v>183660</v>
      </c>
      <c r="L135" s="3" t="s">
        <v>18</v>
      </c>
      <c r="M135" s="30">
        <f>(F135 + G135 + H135 ) / K135</f>
        <v>9.0574975498203203E-2</v>
      </c>
      <c r="N135" t="str">
        <f>IF(AND(C135&gt;=$T$2,C135&lt;=$U$2),"During","Before")</f>
        <v>Before</v>
      </c>
      <c r="O135" s="30">
        <f ca="1">AVERAGEIF($N$2:$N$301,"Before",M135)</f>
        <v>0.17016442874058585</v>
      </c>
      <c r="P135" s="30">
        <f ca="1">AVERAGEIF($N$2:$N$301,"During",M135)</f>
        <v>0.18306401718864085</v>
      </c>
      <c r="Q135" s="30">
        <f ca="1">(P135-O135)/O135</f>
        <v>7.5806609780474779E-2</v>
      </c>
    </row>
    <row r="136" spans="1:17" ht="14.25" customHeight="1">
      <c r="A136" s="3" t="s">
        <v>264</v>
      </c>
      <c r="B136" s="3" t="s">
        <v>62</v>
      </c>
      <c r="C136" s="29" t="s">
        <v>265</v>
      </c>
      <c r="D136" s="3" t="s">
        <v>35</v>
      </c>
      <c r="E136" s="3" t="s">
        <v>67</v>
      </c>
      <c r="F136" s="12">
        <v>8767</v>
      </c>
      <c r="G136" s="12">
        <v>974</v>
      </c>
      <c r="H136" s="12">
        <v>733</v>
      </c>
      <c r="I136" s="12">
        <v>1587</v>
      </c>
      <c r="J136" s="13">
        <v>74927</v>
      </c>
      <c r="K136" s="12">
        <v>113770</v>
      </c>
      <c r="L136" s="3" t="s">
        <v>33</v>
      </c>
      <c r="M136" s="30">
        <f>(F136 + G136 + H136 ) / K136</f>
        <v>9.2062933989628198E-2</v>
      </c>
      <c r="N136" s="8" t="str">
        <f>IF(AND(C136&gt;=$T$5,C136&lt;=$U$5),"During","Before")</f>
        <v>Before</v>
      </c>
      <c r="O136" s="30">
        <f ca="1">AVERAGEIF($N$2:$N$301,"Before",M136)</f>
        <v>0.16992760195734241</v>
      </c>
      <c r="P136" s="30">
        <f ca="1">AVERAGEIF($N$2:$N$301,"During",M136)</f>
        <v>0.18595620880699723</v>
      </c>
      <c r="Q136" s="30">
        <f ca="1">(P136-O136)/O136</f>
        <v>9.4326093377569961E-2</v>
      </c>
    </row>
    <row r="137" spans="1:17" ht="14.25" customHeight="1">
      <c r="A137" s="3" t="s">
        <v>266</v>
      </c>
      <c r="B137" s="3" t="s">
        <v>62</v>
      </c>
      <c r="C137" s="29" t="s">
        <v>267</v>
      </c>
      <c r="D137" s="3" t="s">
        <v>22</v>
      </c>
      <c r="E137" s="3" t="s">
        <v>46</v>
      </c>
      <c r="F137" s="12">
        <v>22384</v>
      </c>
      <c r="G137" s="12">
        <v>601</v>
      </c>
      <c r="H137" s="12">
        <v>943</v>
      </c>
      <c r="I137" s="12">
        <v>515</v>
      </c>
      <c r="J137" s="13">
        <v>41309</v>
      </c>
      <c r="K137" s="12">
        <v>249373</v>
      </c>
      <c r="L137" s="3" t="s">
        <v>33</v>
      </c>
      <c r="M137" s="30">
        <f>(F137 + G137 + H137 ) / K137</f>
        <v>9.5952649244304716E-2</v>
      </c>
      <c r="N137" s="8" t="str">
        <f>IF(AND(C137&gt;=$T$5,C137&lt;=$U$5),"During","Before")</f>
        <v>Before</v>
      </c>
      <c r="O137" s="30">
        <f ca="1">AVERAGEIF($N$2:$N$301,"Before",M137)</f>
        <v>0.16953240101160738</v>
      </c>
      <c r="P137" s="30">
        <f ca="1">AVERAGEIF($N$2:$N$301,"During",M137)</f>
        <v>0.18932608217741997</v>
      </c>
      <c r="Q137" s="30">
        <f ca="1">(P137-O137)/O137</f>
        <v>0.11675456165135878</v>
      </c>
    </row>
    <row r="138" spans="1:17" ht="14.25" customHeight="1">
      <c r="A138" s="3" t="s">
        <v>268</v>
      </c>
      <c r="B138" s="3" t="s">
        <v>62</v>
      </c>
      <c r="C138" s="29" t="s">
        <v>269</v>
      </c>
      <c r="D138" s="3" t="s">
        <v>22</v>
      </c>
      <c r="E138" s="3" t="s">
        <v>17</v>
      </c>
      <c r="F138" s="12">
        <v>14763</v>
      </c>
      <c r="G138" s="12">
        <v>864</v>
      </c>
      <c r="H138" s="12">
        <v>336</v>
      </c>
      <c r="I138" s="12">
        <v>1493</v>
      </c>
      <c r="J138" s="13">
        <v>33310</v>
      </c>
      <c r="K138" s="12">
        <v>165932</v>
      </c>
      <c r="L138" s="3" t="s">
        <v>24</v>
      </c>
      <c r="M138" s="30">
        <f>(F138 + G138 + H138 ) / K138</f>
        <v>9.6202058674637797E-2</v>
      </c>
      <c r="N138" t="str">
        <f>IF(AND(C138&gt;=$T$3,C138&lt;=$U$3),"During","Before")</f>
        <v>Before</v>
      </c>
      <c r="O138" s="30">
        <f ca="1">AVERAGEIF($N$2:$N$301,"Before",M138)</f>
        <v>0.1690975062122958</v>
      </c>
      <c r="P138" s="30">
        <f ca="1">AVERAGEIF($N$2:$N$301,"During",M138)</f>
        <v>0.19270441103217156</v>
      </c>
      <c r="Q138" s="30">
        <f ca="1">(P138-O138)/O138</f>
        <v>0.13960528069667774</v>
      </c>
    </row>
    <row r="139" spans="1:17" ht="14.25" customHeight="1">
      <c r="A139" s="3" t="s">
        <v>270</v>
      </c>
      <c r="B139" s="3" t="s">
        <v>44</v>
      </c>
      <c r="C139" s="29" t="s">
        <v>271</v>
      </c>
      <c r="D139" s="3" t="s">
        <v>35</v>
      </c>
      <c r="E139" s="3" t="s">
        <v>88</v>
      </c>
      <c r="F139" s="12">
        <v>2846</v>
      </c>
      <c r="G139" s="12">
        <v>792</v>
      </c>
      <c r="H139" s="12">
        <v>902</v>
      </c>
      <c r="I139" s="12">
        <v>2469</v>
      </c>
      <c r="J139" s="13">
        <v>12130</v>
      </c>
      <c r="K139" s="12">
        <v>47151</v>
      </c>
      <c r="L139" s="3" t="s">
        <v>33</v>
      </c>
      <c r="M139" s="30">
        <f>(F139 + G139 + H139 ) / K139</f>
        <v>9.6286399015927546E-2</v>
      </c>
      <c r="N139" s="8" t="str">
        <f>IF(AND(C139&gt;=$T$5,C139&lt;=$U$5),"During","Before")</f>
        <v>Before</v>
      </c>
      <c r="O139" s="30">
        <f ca="1">AVERAGEIF($N$2:$N$301,"Before",M139)</f>
        <v>0.16870097179184554</v>
      </c>
      <c r="P139" s="30">
        <f ca="1">AVERAGEIF($N$2:$N$301,"During",M139)</f>
        <v>0.19592710182411732</v>
      </c>
      <c r="Q139" s="30">
        <f ca="1">(P139-O139)/O139</f>
        <v>0.16138691877759417</v>
      </c>
    </row>
    <row r="140" spans="1:17" ht="14.25" customHeight="1">
      <c r="A140" s="3" t="s">
        <v>272</v>
      </c>
      <c r="B140" s="3" t="s">
        <v>14</v>
      </c>
      <c r="C140" s="29" t="s">
        <v>76</v>
      </c>
      <c r="D140" s="3" t="s">
        <v>35</v>
      </c>
      <c r="E140" s="3" t="s">
        <v>36</v>
      </c>
      <c r="F140" s="12">
        <v>5596</v>
      </c>
      <c r="G140" s="12">
        <v>1231</v>
      </c>
      <c r="H140" s="12">
        <v>473</v>
      </c>
      <c r="I140" s="12">
        <v>2251</v>
      </c>
      <c r="J140" s="13">
        <v>43705</v>
      </c>
      <c r="K140" s="12">
        <v>75643</v>
      </c>
      <c r="L140" s="3" t="s">
        <v>33</v>
      </c>
      <c r="M140" s="30">
        <f>(F140 + G140 + H140 ) / K140</f>
        <v>9.6505955607260427E-2</v>
      </c>
      <c r="N140" s="8" t="str">
        <f>IF(AND(C140&gt;=$T$5,C140&lt;=$U$5),"During","Before")</f>
        <v>Before</v>
      </c>
      <c r="O140" s="30">
        <f ca="1">AVERAGEIF($N$2:$N$301,"Before",M140)</f>
        <v>0.17068058448700424</v>
      </c>
      <c r="P140" s="30">
        <f ca="1">AVERAGEIF($N$2:$N$301,"During",M140)</f>
        <v>0.19193221306501876</v>
      </c>
      <c r="Q140" s="30">
        <f ca="1">(P140-O140)/O140</f>
        <v>0.12451110735229898</v>
      </c>
    </row>
    <row r="141" spans="1:17" ht="14.25" customHeight="1">
      <c r="A141" s="3" t="s">
        <v>273</v>
      </c>
      <c r="B141" s="3" t="s">
        <v>62</v>
      </c>
      <c r="C141" s="29" t="s">
        <v>274</v>
      </c>
      <c r="D141" s="3" t="s">
        <v>31</v>
      </c>
      <c r="E141" s="3" t="s">
        <v>60</v>
      </c>
      <c r="F141" s="12">
        <v>6300</v>
      </c>
      <c r="G141" s="12">
        <v>1213</v>
      </c>
      <c r="H141" s="12">
        <v>720</v>
      </c>
      <c r="I141" s="12">
        <v>1037</v>
      </c>
      <c r="J141" s="13">
        <v>39569</v>
      </c>
      <c r="K141" s="12">
        <v>85272</v>
      </c>
      <c r="L141" s="3" t="s">
        <v>24</v>
      </c>
      <c r="M141" s="30">
        <f>(F141 + G141 + H141 ) / K141</f>
        <v>9.6549863964724647E-2</v>
      </c>
      <c r="N141" t="str">
        <f>IF(AND(C141&gt;=$T$3,C141&lt;=$U$3),"During","Before")</f>
        <v>Before</v>
      </c>
      <c r="O141" s="30">
        <f ca="1">AVERAGEIF($N$2:$N$301,"Before",M141)</f>
        <v>0.17051038597228232</v>
      </c>
      <c r="P141" s="30">
        <f ca="1">AVERAGEIF($N$2:$N$301,"During",M141)</f>
        <v>0.1945073277867827</v>
      </c>
      <c r="Q141" s="30">
        <f ca="1">(P141-O141)/O141</f>
        <v>0.140735953869703</v>
      </c>
    </row>
    <row r="142" spans="1:17" ht="14.25" customHeight="1">
      <c r="A142" s="3" t="s">
        <v>275</v>
      </c>
      <c r="B142" s="3" t="s">
        <v>14</v>
      </c>
      <c r="C142" s="29">
        <v>45916</v>
      </c>
      <c r="D142" s="3" t="s">
        <v>31</v>
      </c>
      <c r="E142" s="3" t="s">
        <v>51</v>
      </c>
      <c r="F142" s="12">
        <v>16043</v>
      </c>
      <c r="G142" s="12">
        <v>595</v>
      </c>
      <c r="H142" s="12">
        <v>923</v>
      </c>
      <c r="I142" s="12">
        <v>1194</v>
      </c>
      <c r="J142" s="13">
        <v>52613</v>
      </c>
      <c r="K142" s="12">
        <v>179978</v>
      </c>
      <c r="L142" s="3" t="s">
        <v>37</v>
      </c>
      <c r="M142" s="30">
        <f>(F142 + G142 + H142 ) / K142</f>
        <v>9.757303670448611E-2</v>
      </c>
      <c r="N142" t="str">
        <f>IF(AND(C142&gt;=$T$6,C142&lt;=$U$6),"During","Before")</f>
        <v>During</v>
      </c>
      <c r="O142" s="30">
        <f ca="1">AVERAGEIF($N$2:$N$301,"Before",M142)</f>
        <v>0.17304647277126892</v>
      </c>
      <c r="P142" s="30">
        <f ca="1">AVERAGEIF($N$2:$N$301,"During",M142)</f>
        <v>0.18849295836310798</v>
      </c>
      <c r="Q142" s="30">
        <f ca="1">(P142-O142)/O142</f>
        <v>8.9262065527657808E-2</v>
      </c>
    </row>
    <row r="143" spans="1:17" ht="14.25" customHeight="1">
      <c r="A143" s="3" t="s">
        <v>276</v>
      </c>
      <c r="B143" s="3" t="s">
        <v>62</v>
      </c>
      <c r="C143" s="29" t="s">
        <v>235</v>
      </c>
      <c r="D143" s="3" t="s">
        <v>22</v>
      </c>
      <c r="E143" s="3" t="s">
        <v>88</v>
      </c>
      <c r="F143" s="12">
        <v>14234</v>
      </c>
      <c r="G143" s="12">
        <v>1013</v>
      </c>
      <c r="H143" s="12">
        <v>437</v>
      </c>
      <c r="I143" s="12">
        <v>338</v>
      </c>
      <c r="J143" s="13">
        <v>67754</v>
      </c>
      <c r="K143" s="12">
        <v>160030</v>
      </c>
      <c r="L143" s="3" t="s">
        <v>28</v>
      </c>
      <c r="M143" s="30">
        <f>(F143 + G143 + H143 ) / K143</f>
        <v>9.8006623758045364E-2</v>
      </c>
      <c r="N143" t="str">
        <f>IF(AND(C143&gt;=$T$4,C143&lt;=$U$4),"During","Before")</f>
        <v>Before</v>
      </c>
      <c r="O143" s="30">
        <f ca="1">AVERAGEIF($N$2:$N$301,"Before",M143)</f>
        <v>0.17552057216573538</v>
      </c>
      <c r="P143" s="30">
        <f ca="1">AVERAGEIF($N$2:$N$301,"During",M143)</f>
        <v>0.18232528969867332</v>
      </c>
      <c r="Q143" s="30">
        <f ca="1">(P143-O143)/O143</f>
        <v>3.8768774787906767E-2</v>
      </c>
    </row>
    <row r="144" spans="1:17" ht="14.25" customHeight="1">
      <c r="A144" s="3" t="s">
        <v>277</v>
      </c>
      <c r="B144" s="3" t="s">
        <v>62</v>
      </c>
      <c r="C144" s="29">
        <v>45927</v>
      </c>
      <c r="D144" s="3" t="s">
        <v>35</v>
      </c>
      <c r="E144" s="3" t="s">
        <v>36</v>
      </c>
      <c r="F144" s="12">
        <v>18521</v>
      </c>
      <c r="G144" s="12">
        <v>1027</v>
      </c>
      <c r="H144" s="12">
        <v>230</v>
      </c>
      <c r="I144" s="12">
        <v>1247</v>
      </c>
      <c r="J144" s="13">
        <v>39588</v>
      </c>
      <c r="K144" s="12">
        <v>200928</v>
      </c>
      <c r="L144" s="3" t="s">
        <v>37</v>
      </c>
      <c r="M144" s="30">
        <f>(F144 + G144 + H144 ) / K144</f>
        <v>9.8433269628921807E-2</v>
      </c>
      <c r="N144" t="str">
        <f>IF(AND(C144&gt;=$T$6,C144&lt;=$U$6),"During","Before")</f>
        <v>During</v>
      </c>
      <c r="O144" s="30">
        <f ca="1">AVERAGEIF($N$2:$N$301,"Before",M144)</f>
        <v>0.17543799107173039</v>
      </c>
      <c r="P144" s="30">
        <f ca="1">AVERAGEIF($N$2:$N$301,"During",M144)</f>
        <v>0.18483018749782482</v>
      </c>
      <c r="Q144" s="30">
        <f ca="1">(P144-O144)/O144</f>
        <v>5.3535704374625973E-2</v>
      </c>
    </row>
    <row r="145" spans="1:17" ht="14.25" customHeight="1">
      <c r="A145" s="3" t="s">
        <v>278</v>
      </c>
      <c r="B145" s="3" t="s">
        <v>62</v>
      </c>
      <c r="C145" s="29" t="s">
        <v>150</v>
      </c>
      <c r="D145" s="3" t="s">
        <v>22</v>
      </c>
      <c r="E145" s="3" t="s">
        <v>67</v>
      </c>
      <c r="F145" s="12">
        <v>20222</v>
      </c>
      <c r="G145" s="12">
        <v>712</v>
      </c>
      <c r="H145" s="12">
        <v>604</v>
      </c>
      <c r="I145" s="12">
        <v>1272</v>
      </c>
      <c r="J145" s="13">
        <v>23275</v>
      </c>
      <c r="K145" s="12">
        <v>216422</v>
      </c>
      <c r="L145" s="3" t="s">
        <v>28</v>
      </c>
      <c r="M145" s="30">
        <f>(F145 + G145 + H145 ) / K145</f>
        <v>9.9518533235992648E-2</v>
      </c>
      <c r="N145" t="str">
        <f>IF(AND(C145&gt;=$T$4,C145&lt;=$U$4),"During","Before")</f>
        <v>Before</v>
      </c>
      <c r="O145" s="30">
        <f ca="1">AVERAGEIF($N$2:$N$301,"Before",M145)</f>
        <v>0.17529721564390335</v>
      </c>
      <c r="P145" s="30">
        <f ca="1">AVERAGEIF($N$2:$N$301,"During",M145)</f>
        <v>0.18752102531604495</v>
      </c>
      <c r="Q145" s="30">
        <f ca="1">(P145-O145)/O145</f>
        <v>6.9731910043413892E-2</v>
      </c>
    </row>
    <row r="146" spans="1:17" ht="14.25" customHeight="1">
      <c r="A146" s="3" t="s">
        <v>279</v>
      </c>
      <c r="B146" s="3" t="s">
        <v>62</v>
      </c>
      <c r="C146" s="29">
        <v>45937</v>
      </c>
      <c r="D146" s="3" t="s">
        <v>16</v>
      </c>
      <c r="E146" s="3" t="s">
        <v>46</v>
      </c>
      <c r="F146" s="12">
        <v>19660</v>
      </c>
      <c r="G146" s="12">
        <v>1307</v>
      </c>
      <c r="H146" s="12">
        <v>310</v>
      </c>
      <c r="I146" s="12">
        <v>2802</v>
      </c>
      <c r="J146" s="13">
        <v>22171</v>
      </c>
      <c r="K146" s="12">
        <v>213359</v>
      </c>
      <c r="L146" s="3" t="s">
        <v>37</v>
      </c>
      <c r="M146" s="30">
        <f>(F146 + G146 + H146 ) / K146</f>
        <v>9.9723939463533293E-2</v>
      </c>
      <c r="N146" t="str">
        <f>IF(AND(C146&gt;=$T$6,C146&lt;=$U$6),"During","Before")</f>
        <v>Before</v>
      </c>
      <c r="O146" s="30">
        <f ca="1">AVERAGEIF($N$2:$N$301,"Before",M146)</f>
        <v>0.17497160534114384</v>
      </c>
      <c r="P146" s="30">
        <f ca="1">AVERAGEIF($N$2:$N$301,"During",M146)</f>
        <v>0.19081181186009685</v>
      </c>
      <c r="Q146" s="30">
        <f ca="1">(P146-O146)/O146</f>
        <v>9.0530154810371716E-2</v>
      </c>
    </row>
    <row r="147" spans="1:17" ht="14.25" customHeight="1">
      <c r="A147" s="3" t="s">
        <v>280</v>
      </c>
      <c r="B147" s="3" t="s">
        <v>44</v>
      </c>
      <c r="C147" s="29" t="s">
        <v>281</v>
      </c>
      <c r="D147" s="3" t="s">
        <v>22</v>
      </c>
      <c r="E147" s="3" t="s">
        <v>51</v>
      </c>
      <c r="F147" s="12">
        <v>11111</v>
      </c>
      <c r="G147" s="12">
        <v>1222</v>
      </c>
      <c r="H147" s="12">
        <v>367</v>
      </c>
      <c r="I147" s="12">
        <v>507</v>
      </c>
      <c r="J147" s="13">
        <v>14129</v>
      </c>
      <c r="K147" s="12">
        <v>127163</v>
      </c>
      <c r="L147" s="3" t="s">
        <v>18</v>
      </c>
      <c r="M147" s="30">
        <f>(F147 + G147 + H147 ) / K147</f>
        <v>9.9871818060284834E-2</v>
      </c>
      <c r="N147" t="str">
        <f>IF(AND(C147&gt;=$T$2,C147&lt;=$U$2),"During","Before")</f>
        <v>Before</v>
      </c>
      <c r="O147" s="30">
        <f ca="1">AVERAGEIF($N$2:$N$301,"Before",M147)</f>
        <v>0.17458955308416463</v>
      </c>
      <c r="P147" s="30">
        <f ca="1">AVERAGEIF($N$2:$N$301,"During",M147)</f>
        <v>0.19427163862338587</v>
      </c>
      <c r="Q147" s="30">
        <f ca="1">(P147-O147)/O147</f>
        <v>0.11273346653068679</v>
      </c>
    </row>
    <row r="148" spans="1:17" ht="14.25" customHeight="1">
      <c r="A148" s="3" t="s">
        <v>282</v>
      </c>
      <c r="B148" s="3" t="s">
        <v>44</v>
      </c>
      <c r="C148" s="29" t="s">
        <v>283</v>
      </c>
      <c r="D148" s="3" t="s">
        <v>22</v>
      </c>
      <c r="E148" s="3" t="s">
        <v>40</v>
      </c>
      <c r="F148" s="12">
        <v>9350</v>
      </c>
      <c r="G148" s="12">
        <v>1024</v>
      </c>
      <c r="H148" s="12">
        <v>550</v>
      </c>
      <c r="I148" s="12">
        <v>2123</v>
      </c>
      <c r="J148" s="13">
        <v>53916</v>
      </c>
      <c r="K148" s="12">
        <v>108785</v>
      </c>
      <c r="L148" s="3" t="s">
        <v>28</v>
      </c>
      <c r="M148" s="30">
        <f>(F148 + G148 + H148 ) / K148</f>
        <v>0.10041825619340902</v>
      </c>
      <c r="N148" t="str">
        <f>IF(AND(C148&gt;=$T$4,C148&lt;=$U$4),"During","Before")</f>
        <v>Before</v>
      </c>
      <c r="O148" s="30">
        <f ca="1">AVERAGEIF($N$2:$N$301,"Before",M148)</f>
        <v>0.17421707594854571</v>
      </c>
      <c r="P148" s="30">
        <f ca="1">AVERAGEIF($N$2:$N$301,"During",M148)</f>
        <v>0.1976728533137439</v>
      </c>
      <c r="Q148" s="30">
        <f ca="1">(P148-O148)/O148</f>
        <v>0.13463535211741101</v>
      </c>
    </row>
    <row r="149" spans="1:17" ht="14.25" customHeight="1">
      <c r="A149" s="3" t="s">
        <v>284</v>
      </c>
      <c r="B149" s="3" t="s">
        <v>44</v>
      </c>
      <c r="C149" s="29" t="s">
        <v>285</v>
      </c>
      <c r="D149" s="3" t="s">
        <v>35</v>
      </c>
      <c r="E149" s="3" t="s">
        <v>17</v>
      </c>
      <c r="F149" s="12">
        <v>24195</v>
      </c>
      <c r="G149" s="12">
        <v>888</v>
      </c>
      <c r="H149" s="12">
        <v>165</v>
      </c>
      <c r="I149" s="12">
        <v>1559</v>
      </c>
      <c r="J149" s="13">
        <v>11596</v>
      </c>
      <c r="K149" s="12">
        <v>249988</v>
      </c>
      <c r="L149" s="3" t="s">
        <v>28</v>
      </c>
      <c r="M149" s="30">
        <f>(F149 + G149 + H149 ) / K149</f>
        <v>0.10099684784869674</v>
      </c>
      <c r="N149" t="str">
        <f>IF(AND(C149&gt;=$T$4,C149&lt;=$U$4),"During","Before")</f>
        <v>Before</v>
      </c>
      <c r="O149" s="30">
        <f ca="1">AVERAGEIF($N$2:$N$301,"Before",M149)</f>
        <v>0.17661423945594906</v>
      </c>
      <c r="P149" s="30">
        <f ca="1">AVERAGEIF($N$2:$N$301,"During",M149)</f>
        <v>0.19214321036490081</v>
      </c>
      <c r="Q149" s="30">
        <f ca="1">(P149-O149)/O149</f>
        <v>8.7925928038350323E-2</v>
      </c>
    </row>
    <row r="150" spans="1:17" ht="14.25" customHeight="1">
      <c r="A150" s="3" t="s">
        <v>286</v>
      </c>
      <c r="B150" s="3" t="s">
        <v>62</v>
      </c>
      <c r="C150" s="29" t="s">
        <v>126</v>
      </c>
      <c r="D150" s="3" t="s">
        <v>16</v>
      </c>
      <c r="E150" s="3" t="s">
        <v>60</v>
      </c>
      <c r="F150" s="12">
        <v>7622</v>
      </c>
      <c r="G150" s="12">
        <v>529</v>
      </c>
      <c r="H150" s="12">
        <v>720</v>
      </c>
      <c r="I150" s="12">
        <v>1015</v>
      </c>
      <c r="J150" s="13">
        <v>71322</v>
      </c>
      <c r="K150" s="12">
        <v>86819</v>
      </c>
      <c r="L150" s="3" t="s">
        <v>18</v>
      </c>
      <c r="M150" s="30">
        <f>(F150 + G150 + H150 ) / K150</f>
        <v>0.10217809465669957</v>
      </c>
      <c r="N150" t="str">
        <f>IF(AND(C150&gt;=$T$2,C150&lt;=$U$2),"During","Before")</f>
        <v>Before</v>
      </c>
      <c r="O150" s="30">
        <f ca="1">AVERAGEIF($N$2:$N$301,"Before",M150)</f>
        <v>0.17640749149598217</v>
      </c>
      <c r="P150" s="30">
        <f ca="1">AVERAGEIF($N$2:$N$301,"During",M150)</f>
        <v>0.19508478833205792</v>
      </c>
      <c r="Q150" s="30">
        <f ca="1">(P150-O150)/O150</f>
        <v>0.10587587113045671</v>
      </c>
    </row>
    <row r="151" spans="1:17" ht="14.25" customHeight="1">
      <c r="A151" s="3" t="s">
        <v>287</v>
      </c>
      <c r="B151" s="3" t="s">
        <v>14</v>
      </c>
      <c r="C151" s="29">
        <v>45920</v>
      </c>
      <c r="D151" s="3" t="s">
        <v>31</v>
      </c>
      <c r="E151" s="3" t="s">
        <v>88</v>
      </c>
      <c r="F151" s="12">
        <v>24422</v>
      </c>
      <c r="G151" s="12">
        <v>327</v>
      </c>
      <c r="H151" s="12">
        <v>481</v>
      </c>
      <c r="I151" s="12">
        <v>2371</v>
      </c>
      <c r="J151" s="13">
        <v>35340</v>
      </c>
      <c r="K151" s="12">
        <v>245244</v>
      </c>
      <c r="L151" s="3" t="s">
        <v>37</v>
      </c>
      <c r="M151" s="30">
        <f>(F151 + G151 + H151 ) / K151</f>
        <v>0.10287713460879777</v>
      </c>
      <c r="N151" t="str">
        <f>IF(AND(C151&gt;=$T$6,C151&lt;=$U$6),"During","Before")</f>
        <v>During</v>
      </c>
      <c r="O151" s="30">
        <f ca="1">AVERAGEIF($N$2:$N$301,"Before",M151)</f>
        <v>0.17896055340149486</v>
      </c>
      <c r="P151" s="30">
        <f ca="1">AVERAGEIF($N$2:$N$301,"During",M151)</f>
        <v>0.18877101223584161</v>
      </c>
      <c r="Q151" s="30">
        <f ca="1">(P151-O151)/O151</f>
        <v>5.4819113194946152E-2</v>
      </c>
    </row>
    <row r="152" spans="1:17" ht="14.25" customHeight="1">
      <c r="A152" s="3" t="s">
        <v>288</v>
      </c>
      <c r="B152" s="3" t="s">
        <v>14</v>
      </c>
      <c r="C152" s="29" t="s">
        <v>289</v>
      </c>
      <c r="D152" s="3" t="s">
        <v>35</v>
      </c>
      <c r="E152" s="3" t="s">
        <v>67</v>
      </c>
      <c r="F152" s="12">
        <v>22119</v>
      </c>
      <c r="G152" s="12">
        <v>899</v>
      </c>
      <c r="H152" s="12">
        <v>642</v>
      </c>
      <c r="I152" s="12">
        <v>410</v>
      </c>
      <c r="J152" s="13">
        <v>49490</v>
      </c>
      <c r="K152" s="12">
        <v>229420</v>
      </c>
      <c r="L152" s="3" t="s">
        <v>24</v>
      </c>
      <c r="M152" s="30">
        <f>(F152 + G152 + H152 ) / K152</f>
        <v>0.10312963124400662</v>
      </c>
      <c r="N152" t="str">
        <f>IF(AND(C152&gt;=$T$3,C152&lt;=$U$3),"During","Before")</f>
        <v>Before</v>
      </c>
      <c r="O152" s="30">
        <f ca="1">AVERAGEIF($N$2:$N$301,"Before",M152)</f>
        <v>0.17906680778395023</v>
      </c>
      <c r="P152" s="30">
        <f ca="1">AVERAGEIF($N$2:$N$301,"During",M152)</f>
        <v>0.19069985029782416</v>
      </c>
      <c r="Q152" s="30">
        <f ca="1">(P152-O152)/O152</f>
        <v>6.4964817644538347E-2</v>
      </c>
    </row>
    <row r="153" spans="1:17" ht="14.25" customHeight="1">
      <c r="A153" s="3" t="s">
        <v>290</v>
      </c>
      <c r="B153" s="3" t="s">
        <v>14</v>
      </c>
      <c r="C153" s="29">
        <v>45911</v>
      </c>
      <c r="D153" s="3" t="s">
        <v>22</v>
      </c>
      <c r="E153" s="3" t="s">
        <v>32</v>
      </c>
      <c r="F153" s="12">
        <v>21901</v>
      </c>
      <c r="G153" s="12">
        <v>1308</v>
      </c>
      <c r="H153" s="12">
        <v>724</v>
      </c>
      <c r="I153" s="12">
        <v>2183</v>
      </c>
      <c r="J153" s="13">
        <v>15996</v>
      </c>
      <c r="K153" s="12">
        <v>230961</v>
      </c>
      <c r="L153" s="3" t="s">
        <v>37</v>
      </c>
      <c r="M153" s="30">
        <f>(F153 + G153 + H153 ) / K153</f>
        <v>0.10362355549205277</v>
      </c>
      <c r="N153" t="str">
        <f>IF(AND(C153&gt;=$T$6,C153&lt;=$U$6),"During","Before")</f>
        <v>During</v>
      </c>
      <c r="O153" s="30">
        <f ca="1">AVERAGEIF($N$2:$N$301,"Before",M153)</f>
        <v>0.18176361555933965</v>
      </c>
      <c r="P153" s="30">
        <f ca="1">AVERAGEIF($N$2:$N$301,"During",M153)</f>
        <v>0.18357621621448814</v>
      </c>
      <c r="Q153" s="30">
        <f ca="1">(P153-O153)/O153</f>
        <v>9.9722964333130576E-3</v>
      </c>
    </row>
    <row r="154" spans="1:17" ht="14.25" customHeight="1">
      <c r="A154" s="3" t="s">
        <v>291</v>
      </c>
      <c r="B154" s="3" t="s">
        <v>14</v>
      </c>
      <c r="C154" s="29" t="s">
        <v>292</v>
      </c>
      <c r="D154" s="3" t="s">
        <v>16</v>
      </c>
      <c r="E154" s="3" t="s">
        <v>27</v>
      </c>
      <c r="F154" s="12">
        <v>3619</v>
      </c>
      <c r="G154" s="12">
        <v>1376</v>
      </c>
      <c r="H154" s="12">
        <v>410</v>
      </c>
      <c r="I154" s="12">
        <v>2499</v>
      </c>
      <c r="J154" s="13">
        <v>58146</v>
      </c>
      <c r="K154" s="12">
        <v>52149</v>
      </c>
      <c r="L154" s="3" t="s">
        <v>33</v>
      </c>
      <c r="M154" s="30">
        <f>(F154 + G154 + H154 ) / K154</f>
        <v>0.10364532397553165</v>
      </c>
      <c r="N154" s="8" t="str">
        <f>IF(AND(C154&gt;=$T$5,C154&lt;=$U$5),"During","Before")</f>
        <v>Before</v>
      </c>
      <c r="O154" s="30">
        <f ca="1">AVERAGEIF($N$2:$N$301,"Before",M154)</f>
        <v>0.18160015394771312</v>
      </c>
      <c r="P154" s="30">
        <f ca="1">AVERAGEIF($N$2:$N$301,"During",M154)</f>
        <v>0.1866106414337371</v>
      </c>
      <c r="Q154" s="30">
        <f ca="1">(P154-O154)/O154</f>
        <v>2.7590766731765075E-2</v>
      </c>
    </row>
    <row r="155" spans="1:17" ht="14.25" customHeight="1">
      <c r="A155" s="3" t="s">
        <v>293</v>
      </c>
      <c r="B155" s="3" t="s">
        <v>14</v>
      </c>
      <c r="C155" s="29">
        <v>45919</v>
      </c>
      <c r="D155" s="3" t="s">
        <v>16</v>
      </c>
      <c r="E155" s="3" t="s">
        <v>23</v>
      </c>
      <c r="F155" s="12">
        <v>14772</v>
      </c>
      <c r="G155" s="12">
        <v>1030</v>
      </c>
      <c r="H155" s="12">
        <v>508</v>
      </c>
      <c r="I155" s="12">
        <v>1876</v>
      </c>
      <c r="J155" s="13">
        <v>8882</v>
      </c>
      <c r="K155" s="12">
        <v>155142</v>
      </c>
      <c r="L155" s="3" t="s">
        <v>37</v>
      </c>
      <c r="M155" s="30">
        <f>(F155 + G155 + H155 ) / K155</f>
        <v>0.10512949426976577</v>
      </c>
      <c r="N155" t="str">
        <f>IF(AND(C155&gt;=$T$6,C155&lt;=$U$6),"During","Before")</f>
        <v>During</v>
      </c>
      <c r="O155" s="30">
        <f ca="1">AVERAGEIF($N$2:$N$301,"Before",M155)</f>
        <v>0.18166783420123997</v>
      </c>
      <c r="P155" s="30">
        <f ca="1">AVERAGEIF($N$2:$N$301,"During",M155)</f>
        <v>0.1888035039592556</v>
      </c>
      <c r="Q155" s="30">
        <f ca="1">(P155-O155)/O155</f>
        <v>3.927866366321732E-2</v>
      </c>
    </row>
    <row r="156" spans="1:17" ht="14.25" customHeight="1">
      <c r="A156" s="3" t="s">
        <v>294</v>
      </c>
      <c r="B156" s="3" t="s">
        <v>14</v>
      </c>
      <c r="C156" s="29" t="s">
        <v>295</v>
      </c>
      <c r="D156" s="3" t="s">
        <v>35</v>
      </c>
      <c r="E156" s="3" t="s">
        <v>40</v>
      </c>
      <c r="F156" s="12">
        <v>14819</v>
      </c>
      <c r="G156" s="12">
        <v>1432</v>
      </c>
      <c r="H156" s="12">
        <v>152</v>
      </c>
      <c r="I156" s="12">
        <v>961</v>
      </c>
      <c r="J156" s="13">
        <v>39154</v>
      </c>
      <c r="K156" s="12">
        <v>154793</v>
      </c>
      <c r="L156" s="3" t="s">
        <v>24</v>
      </c>
      <c r="M156" s="30">
        <f>(F156 + G156 + H156 ) / K156</f>
        <v>0.10596732410380315</v>
      </c>
      <c r="N156" t="str">
        <f>IF(AND(C156&gt;=$T$3,C156&lt;=$U$3),"During","Before")</f>
        <v>Before</v>
      </c>
      <c r="O156" s="30">
        <f ca="1">AVERAGEIF($N$2:$N$301,"Before",M156)</f>
        <v>0.18153920381652211</v>
      </c>
      <c r="P156" s="30">
        <f ca="1">AVERAGEIF($N$2:$N$301,"During",M156)</f>
        <v>0.19165357282767156</v>
      </c>
      <c r="Q156" s="30">
        <f ca="1">(P156-O156)/O156</f>
        <v>5.5714516746321288E-2</v>
      </c>
    </row>
    <row r="157" spans="1:17" ht="14.25" customHeight="1">
      <c r="A157" s="3" t="s">
        <v>296</v>
      </c>
      <c r="B157" s="3" t="s">
        <v>20</v>
      </c>
      <c r="C157" s="29" t="s">
        <v>297</v>
      </c>
      <c r="D157" s="3" t="s">
        <v>22</v>
      </c>
      <c r="E157" s="3" t="s">
        <v>60</v>
      </c>
      <c r="F157" s="12">
        <v>18616</v>
      </c>
      <c r="G157" s="12">
        <v>1277</v>
      </c>
      <c r="H157" s="12">
        <v>734</v>
      </c>
      <c r="I157" s="12">
        <v>2249</v>
      </c>
      <c r="J157" s="13">
        <v>3399</v>
      </c>
      <c r="K157" s="12">
        <v>193515</v>
      </c>
      <c r="L157" s="3" t="s">
        <v>24</v>
      </c>
      <c r="M157" s="30">
        <f>(F157 + G157 + H157 ) / K157</f>
        <v>0.10659122031883833</v>
      </c>
      <c r="N157" t="str">
        <f>IF(AND(C157&gt;=$T$3,C157&lt;=$U$3),"During","Before")</f>
        <v>Before</v>
      </c>
      <c r="O157" s="30">
        <f ca="1">AVERAGEIF($N$2:$N$301,"Before",M157)</f>
        <v>0.18127671282854735</v>
      </c>
      <c r="P157" s="30">
        <f ca="1">AVERAGEIF($N$2:$N$301,"During",M157)</f>
        <v>0.19494211536998013</v>
      </c>
      <c r="Q157" s="30">
        <f ca="1">(P157-O157)/O157</f>
        <v>7.5384214156385354E-2</v>
      </c>
    </row>
    <row r="158" spans="1:17" ht="14.25" customHeight="1">
      <c r="A158" s="3" t="s">
        <v>298</v>
      </c>
      <c r="B158" s="3" t="s">
        <v>20</v>
      </c>
      <c r="C158" s="29">
        <v>45941</v>
      </c>
      <c r="D158" s="3" t="s">
        <v>16</v>
      </c>
      <c r="E158" s="3" t="s">
        <v>46</v>
      </c>
      <c r="F158" s="12">
        <v>15623</v>
      </c>
      <c r="G158" s="12">
        <v>869</v>
      </c>
      <c r="H158" s="12">
        <v>423</v>
      </c>
      <c r="I158" s="12">
        <v>371</v>
      </c>
      <c r="J158" s="13">
        <v>47579</v>
      </c>
      <c r="K158" s="12">
        <v>158516</v>
      </c>
      <c r="L158" s="3" t="s">
        <v>37</v>
      </c>
      <c r="M158" s="30">
        <f>(F158 + G158 + H158 ) / K158</f>
        <v>0.10670847106916652</v>
      </c>
      <c r="N158" t="str">
        <f>IF(AND(C158&gt;=$T$6,C158&lt;=$U$6),"During","Before")</f>
        <v>Before</v>
      </c>
      <c r="O158" s="30">
        <f ca="1">AVERAGEIF($N$2:$N$301,"Before",M158)</f>
        <v>0.18086692703087492</v>
      </c>
      <c r="P158" s="30">
        <f ca="1">AVERAGEIF($N$2:$N$301,"During",M158)</f>
        <v>0.19871028730276186</v>
      </c>
      <c r="Q158" s="30">
        <f ca="1">(P158-O158)/O158</f>
        <v>9.8654632799953401E-2</v>
      </c>
    </row>
    <row r="159" spans="1:17" ht="14.25" customHeight="1">
      <c r="A159" s="3" t="s">
        <v>299</v>
      </c>
      <c r="B159" s="3" t="s">
        <v>14</v>
      </c>
      <c r="C159" s="29" t="s">
        <v>300</v>
      </c>
      <c r="D159" s="3" t="s">
        <v>16</v>
      </c>
      <c r="E159" s="3" t="s">
        <v>51</v>
      </c>
      <c r="F159" s="12">
        <v>24700</v>
      </c>
      <c r="G159" s="12">
        <v>327</v>
      </c>
      <c r="H159" s="12">
        <v>999</v>
      </c>
      <c r="I159" s="12">
        <v>994</v>
      </c>
      <c r="J159" s="13">
        <v>59400</v>
      </c>
      <c r="K159" s="12">
        <v>243502</v>
      </c>
      <c r="L159" s="3" t="s">
        <v>28</v>
      </c>
      <c r="M159" s="30">
        <f>(F159 + G159 + H159 ) / K159</f>
        <v>0.10688207899729776</v>
      </c>
      <c r="N159" t="str">
        <f>IF(AND(C159&gt;=$T$4,C159&lt;=$U$4),"During","Before")</f>
        <v>Before</v>
      </c>
      <c r="O159" s="30">
        <f ca="1">AVERAGEIF($N$2:$N$301,"Before",M159)</f>
        <v>0.18057344582117568</v>
      </c>
      <c r="P159" s="30">
        <f ca="1">AVERAGEIF($N$2:$N$301,"During",M159)</f>
        <v>0.20204575199770972</v>
      </c>
      <c r="Q159" s="30">
        <f ca="1">(P159-O159)/O159</f>
        <v>0.11891175958284779</v>
      </c>
    </row>
    <row r="160" spans="1:17" ht="14.25" customHeight="1">
      <c r="A160" s="3" t="s">
        <v>301</v>
      </c>
      <c r="B160" s="3" t="s">
        <v>62</v>
      </c>
      <c r="C160" s="29" t="s">
        <v>179</v>
      </c>
      <c r="D160" s="3" t="s">
        <v>35</v>
      </c>
      <c r="E160" s="3" t="s">
        <v>40</v>
      </c>
      <c r="F160" s="12">
        <v>22673</v>
      </c>
      <c r="G160" s="12">
        <v>1053</v>
      </c>
      <c r="H160" s="12">
        <v>169</v>
      </c>
      <c r="I160" s="12">
        <v>1566</v>
      </c>
      <c r="J160" s="13">
        <v>9417</v>
      </c>
      <c r="K160" s="12">
        <v>221187</v>
      </c>
      <c r="L160" s="3" t="s">
        <v>24</v>
      </c>
      <c r="M160" s="30">
        <f>(F160 + G160 + H160 ) / K160</f>
        <v>0.10803076130152314</v>
      </c>
      <c r="N160" t="str">
        <f>IF(AND(C160&gt;=$T$3,C160&lt;=$U$3),"During","Before")</f>
        <v>Before</v>
      </c>
      <c r="O160" s="30">
        <f ca="1">AVERAGEIF($N$2:$N$301,"Before",M160)</f>
        <v>0.18305133143190094</v>
      </c>
      <c r="P160" s="30">
        <f ca="1">AVERAGEIF($N$2:$N$301,"During",M160)</f>
        <v>0.1962431187786742</v>
      </c>
      <c r="Q160" s="30">
        <f ca="1">(P160-O160)/O160</f>
        <v>7.2066055152845962E-2</v>
      </c>
    </row>
    <row r="161" spans="1:17" ht="14.25" customHeight="1">
      <c r="A161" s="3" t="s">
        <v>302</v>
      </c>
      <c r="B161" s="3" t="s">
        <v>44</v>
      </c>
      <c r="C161" s="29">
        <v>45920</v>
      </c>
      <c r="D161" s="3" t="s">
        <v>31</v>
      </c>
      <c r="E161" s="3" t="s">
        <v>46</v>
      </c>
      <c r="F161" s="12">
        <v>12267</v>
      </c>
      <c r="G161" s="12">
        <v>1487</v>
      </c>
      <c r="H161" s="12">
        <v>489</v>
      </c>
      <c r="I161" s="12">
        <v>2748</v>
      </c>
      <c r="J161" s="13">
        <v>34685</v>
      </c>
      <c r="K161" s="12">
        <v>131736</v>
      </c>
      <c r="L161" s="3" t="s">
        <v>37</v>
      </c>
      <c r="M161" s="30">
        <f>(F161 + G161 + H161 ) / K161</f>
        <v>0.1081177506528208</v>
      </c>
      <c r="N161" t="str">
        <f>IF(AND(C161&gt;=$T$6,C161&lt;=$U$6),"During","Before")</f>
        <v>During</v>
      </c>
      <c r="O161" s="30">
        <f ca="1">AVERAGEIF($N$2:$N$301,"Before",M161)</f>
        <v>0.18335503607348461</v>
      </c>
      <c r="P161" s="30">
        <f ca="1">AVERAGEIF($N$2:$N$301,"During",M161)</f>
        <v>0.19758547553855102</v>
      </c>
      <c r="Q161" s="30">
        <f ca="1">(P161-O161)/O161</f>
        <v>7.7611391373854449E-2</v>
      </c>
    </row>
    <row r="162" spans="1:17" ht="14.25" customHeight="1">
      <c r="A162" s="3" t="s">
        <v>303</v>
      </c>
      <c r="B162" s="3" t="s">
        <v>62</v>
      </c>
      <c r="C162" s="29">
        <v>45919</v>
      </c>
      <c r="D162" s="3" t="s">
        <v>31</v>
      </c>
      <c r="E162" s="3" t="s">
        <v>46</v>
      </c>
      <c r="F162" s="12">
        <v>19100</v>
      </c>
      <c r="G162" s="12">
        <v>619</v>
      </c>
      <c r="H162" s="12">
        <v>297</v>
      </c>
      <c r="I162" s="12">
        <v>2312</v>
      </c>
      <c r="J162" s="13">
        <v>9730</v>
      </c>
      <c r="K162" s="12">
        <v>184832</v>
      </c>
      <c r="L162" s="3" t="s">
        <v>37</v>
      </c>
      <c r="M162" s="30">
        <f>(F162 + G162 + H162 ) / K162</f>
        <v>0.10829293628808864</v>
      </c>
      <c r="N162" t="str">
        <f>IF(AND(C162&gt;=$T$6,C162&lt;=$U$6),"During","Before")</f>
        <v>During</v>
      </c>
      <c r="O162" s="30">
        <f ca="1">AVERAGEIF($N$2:$N$301,"Before",M162)</f>
        <v>0.18622108664306841</v>
      </c>
      <c r="P162" s="30">
        <f ca="1">AVERAGEIF($N$2:$N$301,"During",M162)</f>
        <v>0.19005888094626802</v>
      </c>
      <c r="Q162" s="30">
        <f ca="1">(P162-O162)/O162</f>
        <v>2.0608806297836419E-2</v>
      </c>
    </row>
    <row r="163" spans="1:17" ht="14.25" customHeight="1">
      <c r="A163" s="3" t="s">
        <v>304</v>
      </c>
      <c r="B163" s="3" t="s">
        <v>62</v>
      </c>
      <c r="C163" s="29" t="s">
        <v>305</v>
      </c>
      <c r="D163" s="3" t="s">
        <v>31</v>
      </c>
      <c r="E163" s="3" t="s">
        <v>46</v>
      </c>
      <c r="F163" s="12">
        <v>20030</v>
      </c>
      <c r="G163" s="12">
        <v>485</v>
      </c>
      <c r="H163" s="12">
        <v>888</v>
      </c>
      <c r="I163" s="12">
        <v>1643</v>
      </c>
      <c r="J163" s="13">
        <v>4322</v>
      </c>
      <c r="K163" s="12">
        <v>196995</v>
      </c>
      <c r="L163" s="3" t="s">
        <v>28</v>
      </c>
      <c r="M163" s="30">
        <f>(F163 + G163 + H163 ) / K163</f>
        <v>0.10864742759968526</v>
      </c>
      <c r="N163" t="str">
        <f>IF(AND(C163&gt;=$T$4,C163&lt;=$U$4),"During","Before")</f>
        <v>Before</v>
      </c>
      <c r="O163" s="30">
        <f ca="1">AVERAGEIF($N$2:$N$301,"Before",M163)</f>
        <v>0.1862272530620116</v>
      </c>
      <c r="P163" s="30">
        <f ca="1">AVERAGEIF($N$2:$N$301,"During",M163)</f>
        <v>0.19263408130260709</v>
      </c>
      <c r="Q163" s="30">
        <f ca="1">(P163-O163)/O163</f>
        <v>3.4403279516033503E-2</v>
      </c>
    </row>
    <row r="164" spans="1:17" ht="14.25" customHeight="1">
      <c r="A164" s="3" t="s">
        <v>306</v>
      </c>
      <c r="B164" s="3" t="s">
        <v>14</v>
      </c>
      <c r="C164" s="29">
        <v>45911</v>
      </c>
      <c r="D164" s="3" t="s">
        <v>16</v>
      </c>
      <c r="E164" s="3" t="s">
        <v>67</v>
      </c>
      <c r="F164" s="12">
        <v>10175</v>
      </c>
      <c r="G164" s="12">
        <v>342</v>
      </c>
      <c r="H164" s="12">
        <v>825</v>
      </c>
      <c r="I164" s="12">
        <v>2904</v>
      </c>
      <c r="J164" s="13">
        <v>15954</v>
      </c>
      <c r="K164" s="12">
        <v>104324</v>
      </c>
      <c r="L164" s="3" t="s">
        <v>37</v>
      </c>
      <c r="M164" s="30">
        <f>(F164 + G164 + H164 ) / K164</f>
        <v>0.10871899083624094</v>
      </c>
      <c r="N164" t="str">
        <f>IF(AND(C164&gt;=$T$6,C164&lt;=$U$6),"During","Before")</f>
        <v>During</v>
      </c>
      <c r="O164" s="30">
        <f ca="1">AVERAGEIF($N$2:$N$301,"Before",M164)</f>
        <v>0.18576864986424477</v>
      </c>
      <c r="P164" s="30">
        <f ca="1">AVERAGEIF($N$2:$N$301,"During",M164)</f>
        <v>0.19687104699664512</v>
      </c>
      <c r="Q164" s="30">
        <f ca="1">(P164-O164)/O164</f>
        <v>5.9764643498855796E-2</v>
      </c>
    </row>
    <row r="165" spans="1:17" ht="14.25" customHeight="1">
      <c r="A165" s="3" t="s">
        <v>307</v>
      </c>
      <c r="B165" s="3" t="s">
        <v>44</v>
      </c>
      <c r="C165" s="29" t="s">
        <v>78</v>
      </c>
      <c r="D165" s="3" t="s">
        <v>22</v>
      </c>
      <c r="E165" s="3" t="s">
        <v>36</v>
      </c>
      <c r="F165" s="12">
        <v>24574</v>
      </c>
      <c r="G165" s="12">
        <v>909</v>
      </c>
      <c r="H165" s="12">
        <v>280</v>
      </c>
      <c r="I165" s="12">
        <v>2009</v>
      </c>
      <c r="J165" s="13">
        <v>6221</v>
      </c>
      <c r="K165" s="12">
        <v>236910</v>
      </c>
      <c r="L165" s="3" t="s">
        <v>18</v>
      </c>
      <c r="M165" s="30">
        <f>(F165 + G165 + H165 ) / K165</f>
        <v>0.10874593727575872</v>
      </c>
      <c r="N165" t="str">
        <f>IF(AND(C165&gt;=$T$2,C165&lt;=$U$2),"During","Before")</f>
        <v>Before</v>
      </c>
      <c r="O165" s="30">
        <f ca="1">AVERAGEIF($N$2:$N$301,"Before",M165)</f>
        <v>0.18552305892463053</v>
      </c>
      <c r="P165" s="30">
        <f ca="1">AVERAGEIF($N$2:$N$301,"During",M165)</f>
        <v>0.20031530998220271</v>
      </c>
      <c r="Q165" s="30">
        <f ca="1">(P165-O165)/O165</f>
        <v>7.9732681982036452E-2</v>
      </c>
    </row>
    <row r="166" spans="1:17" ht="14.25" customHeight="1">
      <c r="A166" s="3" t="s">
        <v>308</v>
      </c>
      <c r="B166" s="3" t="s">
        <v>62</v>
      </c>
      <c r="C166" s="29" t="s">
        <v>69</v>
      </c>
      <c r="D166" s="3" t="s">
        <v>22</v>
      </c>
      <c r="E166" s="3" t="s">
        <v>103</v>
      </c>
      <c r="F166" s="12">
        <v>20935</v>
      </c>
      <c r="G166" s="12">
        <v>1104</v>
      </c>
      <c r="H166" s="12">
        <v>876</v>
      </c>
      <c r="I166" s="12">
        <v>1270</v>
      </c>
      <c r="J166" s="13">
        <v>21454</v>
      </c>
      <c r="K166" s="12">
        <v>208722</v>
      </c>
      <c r="L166" s="3" t="s">
        <v>28</v>
      </c>
      <c r="M166" s="30">
        <f>(F166 + G166 + H166 ) / K166</f>
        <v>0.10978718103506099</v>
      </c>
      <c r="N166" t="str">
        <f>IF(AND(C166&gt;=$T$4,C166&lt;=$U$4),"During","Before")</f>
        <v>Before</v>
      </c>
      <c r="O166" s="30">
        <f ca="1">AVERAGEIF($N$2:$N$301,"Before",M166)</f>
        <v>0.185271388071057</v>
      </c>
      <c r="P166" s="30">
        <f ca="1">AVERAGEIF($N$2:$N$301,"During",M166)</f>
        <v>0.20376378438645812</v>
      </c>
      <c r="Q166" s="30">
        <f ca="1">(P166-O166)/O166</f>
        <v>9.9812477835534652E-2</v>
      </c>
    </row>
    <row r="167" spans="1:17" ht="14.25" customHeight="1">
      <c r="A167" s="3" t="s">
        <v>309</v>
      </c>
      <c r="B167" s="3" t="s">
        <v>14</v>
      </c>
      <c r="C167" s="29" t="s">
        <v>310</v>
      </c>
      <c r="D167" s="3" t="s">
        <v>31</v>
      </c>
      <c r="E167" s="3" t="s">
        <v>23</v>
      </c>
      <c r="F167" s="12">
        <v>22618</v>
      </c>
      <c r="G167" s="12">
        <v>641</v>
      </c>
      <c r="H167" s="12">
        <v>416</v>
      </c>
      <c r="I167" s="12">
        <v>1530</v>
      </c>
      <c r="J167" s="13">
        <v>18395</v>
      </c>
      <c r="K167" s="12">
        <v>215211</v>
      </c>
      <c r="L167" s="3" t="s">
        <v>18</v>
      </c>
      <c r="M167" s="30">
        <f>(F167 + G167 + H167 ) / K167</f>
        <v>0.1100083174187193</v>
      </c>
      <c r="N167" t="str">
        <f>IF(AND(C167&gt;=$T$2,C167&lt;=$U$2),"During","Before")</f>
        <v>Before</v>
      </c>
      <c r="O167" s="30">
        <f ca="1">AVERAGEIF($N$2:$N$301,"Before",M167)</f>
        <v>0.18527938775907507</v>
      </c>
      <c r="P167" s="30">
        <f ca="1">AVERAGEIF($N$2:$N$301,"During",M167)</f>
        <v>0.2062519257129283</v>
      </c>
      <c r="Q167" s="30">
        <f ca="1">(P167-O167)/O167</f>
        <v>0.1131941237906319</v>
      </c>
    </row>
    <row r="168" spans="1:17" ht="14.25" customHeight="1">
      <c r="A168" s="3" t="s">
        <v>311</v>
      </c>
      <c r="B168" s="3" t="s">
        <v>14</v>
      </c>
      <c r="C168" s="29" t="s">
        <v>312</v>
      </c>
      <c r="D168" s="3" t="s">
        <v>35</v>
      </c>
      <c r="E168" s="3" t="s">
        <v>23</v>
      </c>
      <c r="F168" s="12">
        <v>20117</v>
      </c>
      <c r="G168" s="12">
        <v>1143</v>
      </c>
      <c r="H168" s="12">
        <v>713</v>
      </c>
      <c r="I168" s="12">
        <v>1739</v>
      </c>
      <c r="J168" s="13">
        <v>34444</v>
      </c>
      <c r="K168" s="12">
        <v>198670</v>
      </c>
      <c r="L168" s="3" t="s">
        <v>18</v>
      </c>
      <c r="M168" s="30">
        <f>(F168 + G168 + H168 ) / K168</f>
        <v>0.11060049328031409</v>
      </c>
      <c r="N168" t="str">
        <f>IF(AND(C168&gt;=$T$2,C168&lt;=$U$2),"During","Before")</f>
        <v>Before</v>
      </c>
      <c r="O168" s="30">
        <f ca="1">AVERAGEIF($N$2:$N$301,"Before",M168)</f>
        <v>0.18482013353291965</v>
      </c>
      <c r="P168" s="30">
        <f ca="1">AVERAGEIF($N$2:$N$301,"During",M168)</f>
        <v>0.2103530427082787</v>
      </c>
      <c r="Q168" s="30">
        <f ca="1">(P168-O168)/O168</f>
        <v>0.13815004181246954</v>
      </c>
    </row>
    <row r="169" spans="1:17" ht="14.25" customHeight="1">
      <c r="A169" s="3" t="s">
        <v>313</v>
      </c>
      <c r="B169" s="3" t="s">
        <v>20</v>
      </c>
      <c r="C169" s="29" t="s">
        <v>314</v>
      </c>
      <c r="D169" s="3" t="s">
        <v>22</v>
      </c>
      <c r="E169" s="3" t="s">
        <v>32</v>
      </c>
      <c r="F169" s="12">
        <v>20410</v>
      </c>
      <c r="G169" s="12">
        <v>1332</v>
      </c>
      <c r="H169" s="12">
        <v>472</v>
      </c>
      <c r="I169" s="12">
        <v>1202</v>
      </c>
      <c r="J169" s="13">
        <v>9418</v>
      </c>
      <c r="K169" s="12">
        <v>200806</v>
      </c>
      <c r="L169" s="3" t="s">
        <v>33</v>
      </c>
      <c r="M169" s="30">
        <f>(F169 + G169 + H169 ) / K169</f>
        <v>0.11062418453631864</v>
      </c>
      <c r="N169" s="8" t="str">
        <f>IF(AND(C169&gt;=$T$5,C169&lt;=$U$5),"During","Before")</f>
        <v>Before</v>
      </c>
      <c r="O169" s="30">
        <f ca="1">AVERAGEIF($N$2:$N$301,"Before",M169)</f>
        <v>0.18420736542508553</v>
      </c>
      <c r="P169" s="30">
        <f ca="1">AVERAGEIF($N$2:$N$301,"During",M169)</f>
        <v>0.21493086788692953</v>
      </c>
      <c r="Q169" s="30">
        <f ca="1">(P169-O169)/O169</f>
        <v>0.16678758957843515</v>
      </c>
    </row>
    <row r="170" spans="1:17" ht="14.25" customHeight="1">
      <c r="A170" s="3" t="s">
        <v>315</v>
      </c>
      <c r="B170" s="3" t="s">
        <v>20</v>
      </c>
      <c r="C170" s="29" t="s">
        <v>316</v>
      </c>
      <c r="D170" s="3" t="s">
        <v>35</v>
      </c>
      <c r="E170" s="3" t="s">
        <v>40</v>
      </c>
      <c r="F170" s="12">
        <v>18907</v>
      </c>
      <c r="G170" s="12">
        <v>1075</v>
      </c>
      <c r="H170" s="12">
        <v>675</v>
      </c>
      <c r="I170" s="12">
        <v>1383</v>
      </c>
      <c r="J170" s="13">
        <v>17875</v>
      </c>
      <c r="K170" s="12">
        <v>186649</v>
      </c>
      <c r="L170" s="3" t="s">
        <v>33</v>
      </c>
      <c r="M170" s="30">
        <f>(F170 + G170 + H170 ) / K170</f>
        <v>0.11067297440650634</v>
      </c>
      <c r="N170" s="8" t="str">
        <f>IF(AND(C170&gt;=$T$5,C170&lt;=$U$5),"During","Before")</f>
        <v>Before</v>
      </c>
      <c r="O170" s="30">
        <f ca="1">AVERAGEIF($N$2:$N$301,"Before",M170)</f>
        <v>0.18381529833080282</v>
      </c>
      <c r="P170" s="30">
        <f ca="1">AVERAGEIF($N$2:$N$301,"During",M170)</f>
        <v>0.21871666870378298</v>
      </c>
      <c r="Q170" s="30">
        <f ca="1">(P170-O170)/O170</f>
        <v>0.18987195674089097</v>
      </c>
    </row>
    <row r="171" spans="1:17" ht="14.25" customHeight="1">
      <c r="A171" s="3" t="s">
        <v>317</v>
      </c>
      <c r="B171" s="3" t="s">
        <v>44</v>
      </c>
      <c r="C171" s="29" t="s">
        <v>318</v>
      </c>
      <c r="D171" s="3" t="s">
        <v>35</v>
      </c>
      <c r="E171" s="3" t="s">
        <v>60</v>
      </c>
      <c r="F171" s="12">
        <v>19308</v>
      </c>
      <c r="G171" s="12">
        <v>1318</v>
      </c>
      <c r="H171" s="12">
        <v>795</v>
      </c>
      <c r="I171" s="12">
        <v>1499</v>
      </c>
      <c r="J171" s="13">
        <v>23275</v>
      </c>
      <c r="K171" s="12">
        <v>193087</v>
      </c>
      <c r="L171" s="3" t="s">
        <v>28</v>
      </c>
      <c r="M171" s="30">
        <f>(F171 + G171 + H171 ) / K171</f>
        <v>0.11093962825047776</v>
      </c>
      <c r="N171" t="str">
        <f>IF(AND(C171&gt;=$T$4,C171&lt;=$U$4),"During","Before")</f>
        <v>Before</v>
      </c>
      <c r="O171" s="30">
        <f ca="1">AVERAGEIF($N$2:$N$301,"Before",M171)</f>
        <v>0.18670050976190458</v>
      </c>
      <c r="P171" s="30">
        <f ca="1">AVERAGEIF($N$2:$N$301,"During",M171)</f>
        <v>0.21229432830119305</v>
      </c>
      <c r="Q171" s="30">
        <f ca="1">(P171-O171)/O171</f>
        <v>0.13708488836976263</v>
      </c>
    </row>
    <row r="172" spans="1:17" ht="14.25" customHeight="1">
      <c r="A172" s="3" t="s">
        <v>319</v>
      </c>
      <c r="B172" s="3" t="s">
        <v>14</v>
      </c>
      <c r="C172" s="29" t="s">
        <v>320</v>
      </c>
      <c r="D172" s="3" t="s">
        <v>35</v>
      </c>
      <c r="E172" s="3" t="s">
        <v>17</v>
      </c>
      <c r="F172" s="12">
        <v>16512</v>
      </c>
      <c r="G172" s="12">
        <v>1050</v>
      </c>
      <c r="H172" s="12">
        <v>971</v>
      </c>
      <c r="I172" s="12">
        <v>1891</v>
      </c>
      <c r="J172" s="13">
        <v>15865</v>
      </c>
      <c r="K172" s="12">
        <v>166503</v>
      </c>
      <c r="L172" s="3" t="s">
        <v>24</v>
      </c>
      <c r="M172" s="30">
        <f>(F172 + G172 + H172 ) / K172</f>
        <v>0.1113073037723044</v>
      </c>
      <c r="N172" t="str">
        <f>IF(AND(C172&gt;=$T$3,C172&lt;=$U$3),"During","Before")</f>
        <v>Before</v>
      </c>
      <c r="O172" s="30">
        <f ca="1">AVERAGEIF($N$2:$N$301,"Before",M172)</f>
        <v>0.18930998367966229</v>
      </c>
      <c r="P172" s="30">
        <f ca="1">AVERAGEIF($N$2:$N$301,"During",M172)</f>
        <v>0.2064081983168872</v>
      </c>
      <c r="Q172" s="30">
        <f ca="1">(P172-O172)/O172</f>
        <v>9.0318610275501213E-2</v>
      </c>
    </row>
    <row r="173" spans="1:17" ht="14.25" customHeight="1">
      <c r="A173" s="3" t="s">
        <v>321</v>
      </c>
      <c r="B173" s="3" t="s">
        <v>62</v>
      </c>
      <c r="C173" s="29" t="s">
        <v>322</v>
      </c>
      <c r="D173" s="3" t="s">
        <v>22</v>
      </c>
      <c r="E173" s="3" t="s">
        <v>46</v>
      </c>
      <c r="F173" s="12">
        <v>21123</v>
      </c>
      <c r="G173" s="12">
        <v>1343</v>
      </c>
      <c r="H173" s="12">
        <v>589</v>
      </c>
      <c r="I173" s="12">
        <v>727</v>
      </c>
      <c r="J173" s="13">
        <v>87833</v>
      </c>
      <c r="K173" s="12">
        <v>206703</v>
      </c>
      <c r="L173" s="3" t="s">
        <v>33</v>
      </c>
      <c r="M173" s="30">
        <f>(F173 + G173 + H173 ) / K173</f>
        <v>0.11153684271636116</v>
      </c>
      <c r="N173" s="8" t="str">
        <f>IF(AND(C173&gt;=$T$5,C173&lt;=$U$5),"During","Before")</f>
        <v>Before</v>
      </c>
      <c r="O173" s="30">
        <f ca="1">AVERAGEIF($N$2:$N$301,"Before",M173)</f>
        <v>0.18920722563677206</v>
      </c>
      <c r="P173" s="30">
        <f ca="1">AVERAGEIF($N$2:$N$301,"During",M173)</f>
        <v>0.20956467125400388</v>
      </c>
      <c r="Q173" s="30">
        <f ca="1">(P173-O173)/O173</f>
        <v>0.10759338364969606</v>
      </c>
    </row>
    <row r="174" spans="1:17" ht="14.25" customHeight="1">
      <c r="A174" s="3" t="s">
        <v>323</v>
      </c>
      <c r="B174" s="3" t="s">
        <v>14</v>
      </c>
      <c r="C174" s="29" t="s">
        <v>131</v>
      </c>
      <c r="D174" s="3" t="s">
        <v>35</v>
      </c>
      <c r="E174" s="3" t="s">
        <v>36</v>
      </c>
      <c r="F174" s="12">
        <v>19715</v>
      </c>
      <c r="G174" s="12">
        <v>1014</v>
      </c>
      <c r="H174" s="12">
        <v>718</v>
      </c>
      <c r="I174" s="12">
        <v>1185</v>
      </c>
      <c r="J174" s="13">
        <v>37625</v>
      </c>
      <c r="K174" s="12">
        <v>191409</v>
      </c>
      <c r="L174" s="3" t="s">
        <v>33</v>
      </c>
      <c r="M174" s="30">
        <f>(F174 + G174 + H174 ) / K174</f>
        <v>0.11204802282024356</v>
      </c>
      <c r="N174" s="8" t="str">
        <f>IF(AND(C174&gt;=$T$5,C174&lt;=$U$5),"During","Before")</f>
        <v>Before</v>
      </c>
      <c r="O174" s="30">
        <f ca="1">AVERAGEIF($N$2:$N$301,"Before",M174)</f>
        <v>0.18867375524971114</v>
      </c>
      <c r="P174" s="30">
        <f ca="1">AVERAGEIF($N$2:$N$301,"During",M174)</f>
        <v>0.21424386488352193</v>
      </c>
      <c r="Q174" s="30">
        <f ca="1">(P174-O174)/O174</f>
        <v>0.13552552446930713</v>
      </c>
    </row>
    <row r="175" spans="1:17" ht="14.25" customHeight="1">
      <c r="A175" s="3" t="s">
        <v>324</v>
      </c>
      <c r="B175" s="3" t="s">
        <v>62</v>
      </c>
      <c r="C175" s="29" t="s">
        <v>181</v>
      </c>
      <c r="D175" s="3" t="s">
        <v>16</v>
      </c>
      <c r="E175" s="3" t="s">
        <v>23</v>
      </c>
      <c r="F175" s="12">
        <v>12040</v>
      </c>
      <c r="G175" s="12">
        <v>1147</v>
      </c>
      <c r="H175" s="12">
        <v>210</v>
      </c>
      <c r="I175" s="12">
        <v>885</v>
      </c>
      <c r="J175" s="13">
        <v>30360</v>
      </c>
      <c r="K175" s="12">
        <v>119530</v>
      </c>
      <c r="L175" s="3" t="s">
        <v>24</v>
      </c>
      <c r="M175" s="30">
        <f>(F175 + G175 + H175 ) / K175</f>
        <v>0.1120806492094035</v>
      </c>
      <c r="N175" t="str">
        <f>IF(AND(C175&gt;=$T$3,C175&lt;=$U$3),"During","Before")</f>
        <v>Before</v>
      </c>
      <c r="O175" s="30">
        <f ca="1">AVERAGEIF($N$2:$N$301,"Before",M175)</f>
        <v>0.18814897423033014</v>
      </c>
      <c r="P175" s="30">
        <f ca="1">AVERAGEIF($N$2:$N$301,"During",M175)</f>
        <v>0.21883597393167148</v>
      </c>
      <c r="Q175" s="30">
        <f ca="1">(P175-O175)/O175</f>
        <v>0.16309947915939532</v>
      </c>
    </row>
    <row r="176" spans="1:17" ht="14.25" customHeight="1">
      <c r="A176" s="3" t="s">
        <v>325</v>
      </c>
      <c r="B176" s="3" t="s">
        <v>20</v>
      </c>
      <c r="C176" s="29" t="s">
        <v>326</v>
      </c>
      <c r="D176" s="3" t="s">
        <v>31</v>
      </c>
      <c r="E176" s="3" t="s">
        <v>67</v>
      </c>
      <c r="F176" s="12">
        <v>15503</v>
      </c>
      <c r="G176" s="12">
        <v>313</v>
      </c>
      <c r="H176" s="12">
        <v>388</v>
      </c>
      <c r="I176" s="12">
        <v>1078</v>
      </c>
      <c r="J176" s="13">
        <v>11500</v>
      </c>
      <c r="K176" s="12">
        <v>143754</v>
      </c>
      <c r="L176" s="3" t="s">
        <v>24</v>
      </c>
      <c r="M176" s="30">
        <f>(F176 + G176 + H176 ) / K176</f>
        <v>0.1127203416948398</v>
      </c>
      <c r="N176" t="str">
        <f>IF(AND(C176&gt;=$T$3,C176&lt;=$U$3),"During","Before")</f>
        <v>Before</v>
      </c>
      <c r="O176" s="30">
        <f ca="1">AVERAGEIF($N$2:$N$301,"Before",M176)</f>
        <v>0.18757765548527283</v>
      </c>
      <c r="P176" s="30">
        <f ca="1">AVERAGEIF($N$2:$N$301,"During",M176)</f>
        <v>0.22355231543297654</v>
      </c>
      <c r="Q176" s="30">
        <f ca="1">(P176-O176)/O176</f>
        <v>0.1917854227073873</v>
      </c>
    </row>
    <row r="177" spans="1:17" ht="14.25" customHeight="1">
      <c r="A177" s="3" t="s">
        <v>327</v>
      </c>
      <c r="B177" s="3" t="s">
        <v>44</v>
      </c>
      <c r="C177" s="29">
        <v>45935</v>
      </c>
      <c r="D177" s="3" t="s">
        <v>35</v>
      </c>
      <c r="E177" s="3" t="s">
        <v>32</v>
      </c>
      <c r="F177" s="12">
        <v>21262</v>
      </c>
      <c r="G177" s="12">
        <v>861</v>
      </c>
      <c r="H177" s="12">
        <v>676</v>
      </c>
      <c r="I177" s="12">
        <v>2263</v>
      </c>
      <c r="J177" s="13">
        <v>12085</v>
      </c>
      <c r="K177" s="12">
        <v>201731</v>
      </c>
      <c r="L177" s="3" t="s">
        <v>37</v>
      </c>
      <c r="M177" s="30">
        <f>(F177 + G177 + H177 ) / K177</f>
        <v>0.11301683925623726</v>
      </c>
      <c r="N177" t="str">
        <f>IF(AND(C177&gt;=$T$6,C177&lt;=$U$6),"During","Before")</f>
        <v>Before</v>
      </c>
      <c r="O177" s="30">
        <f ca="1">AVERAGEIF($N$2:$N$301,"Before",M177)</f>
        <v>0.19056473171905716</v>
      </c>
      <c r="P177" s="30">
        <f ca="1">AVERAGEIF($N$2:$N$301,"During",M177)</f>
        <v>0.2168152229450977</v>
      </c>
      <c r="Q177" s="30">
        <f ca="1">(P177-O177)/O177</f>
        <v>0.13775104653016648</v>
      </c>
    </row>
    <row r="178" spans="1:17" ht="14.25" customHeight="1">
      <c r="A178" s="3" t="s">
        <v>328</v>
      </c>
      <c r="B178" s="3" t="s">
        <v>44</v>
      </c>
      <c r="C178" s="29" t="s">
        <v>329</v>
      </c>
      <c r="D178" s="3" t="s">
        <v>16</v>
      </c>
      <c r="E178" s="3" t="s">
        <v>40</v>
      </c>
      <c r="F178" s="12">
        <v>14647</v>
      </c>
      <c r="G178" s="12">
        <v>1168</v>
      </c>
      <c r="H178" s="12">
        <v>484</v>
      </c>
      <c r="I178" s="12">
        <v>2650</v>
      </c>
      <c r="J178" s="13">
        <v>27217</v>
      </c>
      <c r="K178" s="12">
        <v>144061</v>
      </c>
      <c r="L178" s="3" t="s">
        <v>24</v>
      </c>
      <c r="M178" s="30">
        <f>(F178 + G178 + H178 ) / K178</f>
        <v>0.11313957281984714</v>
      </c>
      <c r="N178" t="str">
        <f>IF(AND(C178&gt;=$T$3,C178&lt;=$U$3),"During","Before")</f>
        <v>Before</v>
      </c>
      <c r="O178" s="30">
        <f ca="1">AVERAGEIF($N$2:$N$301,"Before",M178)</f>
        <v>0.1933019052254934</v>
      </c>
      <c r="P178" s="30">
        <f ca="1">AVERAGEIF($N$2:$N$301,"During",M178)</f>
        <v>0.2104904298704095</v>
      </c>
      <c r="Q178" s="30">
        <f ca="1">(P178-O178)/O178</f>
        <v>8.8920616818882831E-2</v>
      </c>
    </row>
    <row r="179" spans="1:17" ht="14.25" customHeight="1">
      <c r="A179" s="3" t="s">
        <v>330</v>
      </c>
      <c r="B179" s="3" t="s">
        <v>62</v>
      </c>
      <c r="C179" s="29" t="s">
        <v>314</v>
      </c>
      <c r="D179" s="3" t="s">
        <v>35</v>
      </c>
      <c r="E179" s="3" t="s">
        <v>67</v>
      </c>
      <c r="F179" s="12">
        <v>20017</v>
      </c>
      <c r="G179" s="12">
        <v>495</v>
      </c>
      <c r="H179" s="12">
        <v>178</v>
      </c>
      <c r="I179" s="12">
        <v>2683</v>
      </c>
      <c r="J179" s="13">
        <v>32244</v>
      </c>
      <c r="K179" s="12">
        <v>182633</v>
      </c>
      <c r="L179" s="3" t="s">
        <v>33</v>
      </c>
      <c r="M179" s="30">
        <f>(F179 + G179 + H179 ) / K179</f>
        <v>0.11328730295182141</v>
      </c>
      <c r="N179" s="8" t="str">
        <f>IF(AND(C179&gt;=$T$5,C179&lt;=$U$5),"During","Before")</f>
        <v>Before</v>
      </c>
      <c r="O179" s="30">
        <f ca="1">AVERAGEIF($N$2:$N$301,"Before",M179)</f>
        <v>0.19318967687822447</v>
      </c>
      <c r="P179" s="30">
        <f ca="1">AVERAGEIF($N$2:$N$301,"During",M179)</f>
        <v>0.21399229456620697</v>
      </c>
      <c r="Q179" s="30">
        <f ca="1">(P179-O179)/O179</f>
        <v>0.10767975817411435</v>
      </c>
    </row>
    <row r="180" spans="1:17" ht="14.25" customHeight="1">
      <c r="A180" s="3" t="s">
        <v>331</v>
      </c>
      <c r="B180" s="3" t="s">
        <v>20</v>
      </c>
      <c r="C180" s="29">
        <v>45936</v>
      </c>
      <c r="D180" s="3" t="s">
        <v>22</v>
      </c>
      <c r="E180" s="3" t="s">
        <v>60</v>
      </c>
      <c r="F180" s="12">
        <v>22028</v>
      </c>
      <c r="G180" s="12">
        <v>355</v>
      </c>
      <c r="H180" s="12">
        <v>665</v>
      </c>
      <c r="I180" s="12">
        <v>1859</v>
      </c>
      <c r="J180" s="13">
        <v>50565</v>
      </c>
      <c r="K180" s="12">
        <v>202962</v>
      </c>
      <c r="L180" s="3" t="s">
        <v>37</v>
      </c>
      <c r="M180" s="30">
        <f>(F180 + G180 + H180 ) / K180</f>
        <v>0.11355820301337197</v>
      </c>
      <c r="N180" t="str">
        <f>IF(AND(C180&gt;=$T$6,C180&lt;=$U$6),"During","Before")</f>
        <v>Before</v>
      </c>
      <c r="O180" s="30">
        <f ca="1">AVERAGEIF($N$2:$N$301,"Before",M180)</f>
        <v>0.19608554018252655</v>
      </c>
      <c r="P180" s="30">
        <f ca="1">AVERAGEIF($N$2:$N$301,"During",M180)</f>
        <v>0.2067845446100903</v>
      </c>
      <c r="Q180" s="30">
        <f ca="1">(P180-O180)/O180</f>
        <v>5.4562944404796802E-2</v>
      </c>
    </row>
    <row r="181" spans="1:17" ht="14.25" customHeight="1">
      <c r="A181" s="3" t="s">
        <v>332</v>
      </c>
      <c r="B181" s="3" t="s">
        <v>14</v>
      </c>
      <c r="C181" s="29" t="s">
        <v>333</v>
      </c>
      <c r="D181" s="3" t="s">
        <v>22</v>
      </c>
      <c r="E181" s="3" t="s">
        <v>32</v>
      </c>
      <c r="F181" s="12">
        <v>21561</v>
      </c>
      <c r="G181" s="12">
        <v>340</v>
      </c>
      <c r="H181" s="12">
        <v>741</v>
      </c>
      <c r="I181" s="12">
        <v>986</v>
      </c>
      <c r="J181" s="13">
        <v>24826</v>
      </c>
      <c r="K181" s="12">
        <v>198492</v>
      </c>
      <c r="L181" s="3" t="s">
        <v>33</v>
      </c>
      <c r="M181" s="30">
        <f>(F181 + G181 + H181 ) / K181</f>
        <v>0.11407008846704149</v>
      </c>
      <c r="N181" s="8" t="str">
        <f>IF(AND(C181&gt;=$T$5,C181&lt;=$U$5),"During","Before")</f>
        <v>Before</v>
      </c>
      <c r="O181" s="30">
        <f ca="1">AVERAGEIF($N$2:$N$301,"Before",M181)</f>
        <v>0.19631767356853649</v>
      </c>
      <c r="P181" s="30">
        <f ca="1">AVERAGEIF($N$2:$N$301,"During",M181)</f>
        <v>0.20919424589457811</v>
      </c>
      <c r="Q181" s="30">
        <f ca="1">(P181-O181)/O181</f>
        <v>6.5590489597699267E-2</v>
      </c>
    </row>
    <row r="182" spans="1:17" ht="14.25" customHeight="1">
      <c r="A182" s="3" t="s">
        <v>334</v>
      </c>
      <c r="B182" s="3" t="s">
        <v>14</v>
      </c>
      <c r="C182" s="29" t="s">
        <v>283</v>
      </c>
      <c r="D182" s="3" t="s">
        <v>31</v>
      </c>
      <c r="E182" s="3" t="s">
        <v>60</v>
      </c>
      <c r="F182" s="12">
        <v>15716</v>
      </c>
      <c r="G182" s="12">
        <v>839</v>
      </c>
      <c r="H182" s="12">
        <v>639</v>
      </c>
      <c r="I182" s="12">
        <v>2839</v>
      </c>
      <c r="J182" s="13">
        <v>349</v>
      </c>
      <c r="K182" s="12">
        <v>150677</v>
      </c>
      <c r="L182" s="3" t="s">
        <v>28</v>
      </c>
      <c r="M182" s="30">
        <f>(F182 + G182 + H182 ) / K182</f>
        <v>0.11411164278556117</v>
      </c>
      <c r="N182" t="str">
        <f>IF(AND(C182&gt;=$T$4,C182&lt;=$U$4),"During","Before")</f>
        <v>Before</v>
      </c>
      <c r="O182" s="30">
        <f ca="1">AVERAGEIF($N$2:$N$301,"Before",M182)</f>
        <v>0.19950227267760809</v>
      </c>
      <c r="P182" s="30">
        <f ca="1">AVERAGEIF($N$2:$N$301,"During",M182)</f>
        <v>0.20041935601777228</v>
      </c>
      <c r="Q182" s="30">
        <f ca="1">(P182-O182)/O182</f>
        <v>4.5968566064717312E-3</v>
      </c>
    </row>
    <row r="183" spans="1:17" ht="14.25" customHeight="1">
      <c r="A183" s="3" t="s">
        <v>335</v>
      </c>
      <c r="B183" s="3" t="s">
        <v>62</v>
      </c>
      <c r="C183" s="29" t="s">
        <v>336</v>
      </c>
      <c r="D183" s="3" t="s">
        <v>35</v>
      </c>
      <c r="E183" s="3" t="s">
        <v>23</v>
      </c>
      <c r="F183" s="12">
        <v>23499</v>
      </c>
      <c r="G183" s="12">
        <v>562</v>
      </c>
      <c r="H183" s="12">
        <v>964</v>
      </c>
      <c r="I183" s="12">
        <v>2557</v>
      </c>
      <c r="J183" s="13">
        <v>56890</v>
      </c>
      <c r="K183" s="12">
        <v>218686</v>
      </c>
      <c r="L183" s="3" t="s">
        <v>24</v>
      </c>
      <c r="M183" s="30">
        <f>(F183 + G183 + H183 ) / K183</f>
        <v>0.11443347996671026</v>
      </c>
      <c r="N183" t="str">
        <f>IF(AND(C183&gt;=$T$3,C183&lt;=$U$3),"During","Before")</f>
        <v>Before</v>
      </c>
      <c r="O183" s="30">
        <f ca="1">AVERAGEIF($N$2:$N$301,"Before",M183)</f>
        <v>0.19937488441275059</v>
      </c>
      <c r="P183" s="30">
        <f ca="1">AVERAGEIF($N$2:$N$301,"During",M183)</f>
        <v>0.20448154414500208</v>
      </c>
      <c r="Q183" s="30">
        <f ca="1">(P183-O183)/O183</f>
        <v>2.561335519914117E-2</v>
      </c>
    </row>
    <row r="184" spans="1:17" ht="14.25" customHeight="1">
      <c r="A184" s="3" t="s">
        <v>337</v>
      </c>
      <c r="B184" s="3" t="s">
        <v>20</v>
      </c>
      <c r="C184" s="29" t="s">
        <v>222</v>
      </c>
      <c r="D184" s="3" t="s">
        <v>35</v>
      </c>
      <c r="E184" s="3" t="s">
        <v>46</v>
      </c>
      <c r="F184" s="12">
        <v>7342</v>
      </c>
      <c r="G184" s="12">
        <v>906</v>
      </c>
      <c r="H184" s="12">
        <v>902</v>
      </c>
      <c r="I184" s="12">
        <v>1199</v>
      </c>
      <c r="J184" s="13">
        <v>68488</v>
      </c>
      <c r="K184" s="12">
        <v>79310</v>
      </c>
      <c r="L184" s="3" t="s">
        <v>33</v>
      </c>
      <c r="M184" s="30">
        <f>(F184 + G184 + H184 ) / K184</f>
        <v>0.1153700668263775</v>
      </c>
      <c r="N184" s="8" t="str">
        <f>IF(AND(C184&gt;=$T$5,C184&lt;=$U$5),"During","Before")</f>
        <v>Before</v>
      </c>
      <c r="O184" s="30">
        <f ca="1">AVERAGEIF($N$2:$N$301,"Before",M184)</f>
        <v>0.19923327761713785</v>
      </c>
      <c r="P184" s="30">
        <f ca="1">AVERAGEIF($N$2:$N$301,"During",M184)</f>
        <v>0.20857539594640362</v>
      </c>
      <c r="Q184" s="30">
        <f ca="1">(P184-O184)/O184</f>
        <v>4.6890351054798711E-2</v>
      </c>
    </row>
    <row r="185" spans="1:17" ht="14.25" customHeight="1">
      <c r="A185" s="3" t="s">
        <v>338</v>
      </c>
      <c r="B185" s="3" t="s">
        <v>44</v>
      </c>
      <c r="C185" s="29">
        <v>45922</v>
      </c>
      <c r="D185" s="3" t="s">
        <v>16</v>
      </c>
      <c r="E185" s="3" t="s">
        <v>88</v>
      </c>
      <c r="F185" s="12">
        <v>18509</v>
      </c>
      <c r="G185" s="12">
        <v>361</v>
      </c>
      <c r="H185" s="12">
        <v>578</v>
      </c>
      <c r="I185" s="12">
        <v>1409</v>
      </c>
      <c r="J185" s="13">
        <v>10569</v>
      </c>
      <c r="K185" s="12">
        <v>166969</v>
      </c>
      <c r="L185" s="3" t="s">
        <v>37</v>
      </c>
      <c r="M185" s="30">
        <f>(F185 + G185 + H185 ) / K185</f>
        <v>0.11647671124580011</v>
      </c>
      <c r="N185" t="str">
        <f>IF(AND(C185&gt;=$T$6,C185&lt;=$U$6),"During","Before")</f>
        <v>During</v>
      </c>
      <c r="O185" s="30">
        <f ca="1">AVERAGEIF($N$2:$N$301,"Before",M185)</f>
        <v>0.1994493280888239</v>
      </c>
      <c r="P185" s="30">
        <f ca="1">AVERAGEIF($N$2:$N$301,"During",M185)</f>
        <v>0.21123250081823519</v>
      </c>
      <c r="Q185" s="30">
        <f ca="1">(P185-O185)/O185</f>
        <v>5.9078528076884289E-2</v>
      </c>
    </row>
    <row r="186" spans="1:17" ht="14.25" customHeight="1">
      <c r="A186" s="3" t="s">
        <v>339</v>
      </c>
      <c r="B186" s="3" t="s">
        <v>44</v>
      </c>
      <c r="C186" s="29" t="s">
        <v>73</v>
      </c>
      <c r="D186" s="3" t="s">
        <v>31</v>
      </c>
      <c r="E186" s="3" t="s">
        <v>103</v>
      </c>
      <c r="F186" s="12">
        <v>12357</v>
      </c>
      <c r="G186" s="12">
        <v>716</v>
      </c>
      <c r="H186" s="12">
        <v>599</v>
      </c>
      <c r="I186" s="12">
        <v>999</v>
      </c>
      <c r="J186" s="13">
        <v>89591</v>
      </c>
      <c r="K186" s="12">
        <v>116367</v>
      </c>
      <c r="L186" s="3" t="s">
        <v>33</v>
      </c>
      <c r="M186" s="30">
        <f>(F186 + G186 + H186 ) / K186</f>
        <v>0.11749035379446063</v>
      </c>
      <c r="N186" s="8" t="str">
        <f>IF(AND(C186&gt;=$T$5,C186&lt;=$U$5),"During","Before")</f>
        <v>Before</v>
      </c>
      <c r="O186" s="30">
        <f ca="1">AVERAGEIF($N$2:$N$301,"Before",M186)</f>
        <v>0.20272779666179777</v>
      </c>
      <c r="P186" s="30">
        <f ca="1">AVERAGEIF($N$2:$N$301,"During",M186)</f>
        <v>0.2020959013524033</v>
      </c>
      <c r="Q186" s="30">
        <f ca="1">(P186-O186)/O186</f>
        <v>-3.1169643226017E-3</v>
      </c>
    </row>
    <row r="187" spans="1:17" ht="14.25" customHeight="1">
      <c r="A187" s="3" t="s">
        <v>340</v>
      </c>
      <c r="B187" s="3" t="s">
        <v>62</v>
      </c>
      <c r="C187" s="29" t="s">
        <v>341</v>
      </c>
      <c r="D187" s="3" t="s">
        <v>22</v>
      </c>
      <c r="E187" s="3" t="s">
        <v>23</v>
      </c>
      <c r="F187" s="12">
        <v>21216</v>
      </c>
      <c r="G187" s="12">
        <v>1207</v>
      </c>
      <c r="H187" s="12">
        <v>859</v>
      </c>
      <c r="I187" s="12">
        <v>328</v>
      </c>
      <c r="J187" s="13">
        <v>91296</v>
      </c>
      <c r="K187" s="12">
        <v>196683</v>
      </c>
      <c r="L187" s="3" t="s">
        <v>28</v>
      </c>
      <c r="M187" s="30">
        <f>(F187 + G187 + H187 ) / K187</f>
        <v>0.1183732198512327</v>
      </c>
      <c r="N187" t="str">
        <f>IF(AND(C187&gt;=$T$4,C187&lt;=$U$4),"During","Before")</f>
        <v>Before</v>
      </c>
      <c r="O187" s="30">
        <f ca="1">AVERAGEIF($N$2:$N$301,"Before",M187)</f>
        <v>0.20258008089490895</v>
      </c>
      <c r="P187" s="30">
        <f ca="1">AVERAGEIF($N$2:$N$301,"During",M187)</f>
        <v>0.20639274019679929</v>
      </c>
      <c r="Q187" s="30">
        <f ca="1">(P187-O187)/O187</f>
        <v>1.8820504390400599E-2</v>
      </c>
    </row>
    <row r="188" spans="1:17" ht="14.25" customHeight="1">
      <c r="A188" s="3" t="s">
        <v>342</v>
      </c>
      <c r="B188" s="3" t="s">
        <v>14</v>
      </c>
      <c r="C188" s="29" t="s">
        <v>343</v>
      </c>
      <c r="D188" s="3" t="s">
        <v>31</v>
      </c>
      <c r="E188" s="3" t="s">
        <v>32</v>
      </c>
      <c r="F188" s="12">
        <v>19844</v>
      </c>
      <c r="G188" s="12">
        <v>1022</v>
      </c>
      <c r="H188" s="12">
        <v>860</v>
      </c>
      <c r="I188" s="12">
        <v>2570</v>
      </c>
      <c r="J188" s="13">
        <v>23719</v>
      </c>
      <c r="K188" s="12">
        <v>182628</v>
      </c>
      <c r="L188" s="3" t="s">
        <v>28</v>
      </c>
      <c r="M188" s="30">
        <f>(F188 + G188 + H188 ) / K188</f>
        <v>0.11896313818253498</v>
      </c>
      <c r="N188" t="str">
        <f>IF(AND(C188&gt;=$T$4,C188&lt;=$U$4),"During","Before")</f>
        <v>Before</v>
      </c>
      <c r="O188" s="30">
        <f ca="1">AVERAGEIF($N$2:$N$301,"Before",M188)</f>
        <v>0.20277561542241229</v>
      </c>
      <c r="P188" s="30">
        <f ca="1">AVERAGEIF($N$2:$N$301,"During",M188)</f>
        <v>0.20928027145944592</v>
      </c>
      <c r="Q188" s="30">
        <f ca="1">(P188-O188)/O188</f>
        <v>3.207809786932931E-2</v>
      </c>
    </row>
    <row r="189" spans="1:17" ht="14.25" customHeight="1">
      <c r="A189" s="3" t="s">
        <v>344</v>
      </c>
      <c r="B189" s="3" t="s">
        <v>62</v>
      </c>
      <c r="C189" s="29" t="s">
        <v>345</v>
      </c>
      <c r="D189" s="3" t="s">
        <v>22</v>
      </c>
      <c r="E189" s="3" t="s">
        <v>60</v>
      </c>
      <c r="F189" s="12">
        <v>3761</v>
      </c>
      <c r="G189" s="12">
        <v>651</v>
      </c>
      <c r="H189" s="12">
        <v>493</v>
      </c>
      <c r="I189" s="12">
        <v>2294</v>
      </c>
      <c r="J189" s="13">
        <v>71696</v>
      </c>
      <c r="K189" s="12">
        <v>41177</v>
      </c>
      <c r="L189" s="3" t="s">
        <v>33</v>
      </c>
      <c r="M189" s="30">
        <f>(F189 + G189 + H189 ) / K189</f>
        <v>0.11911989702989532</v>
      </c>
      <c r="N189" s="8" t="str">
        <f>IF(AND(C189&gt;=$T$5,C189&lt;=$U$5),"During","Before")</f>
        <v>Before</v>
      </c>
      <c r="O189" s="30">
        <f ca="1">AVERAGEIF($N$2:$N$301,"Before",M189)</f>
        <v>0.20308795132737911</v>
      </c>
      <c r="P189" s="30">
        <f ca="1">AVERAGEIF($N$2:$N$301,"During",M189)</f>
        <v>0.21170210823304852</v>
      </c>
      <c r="Q189" s="30">
        <f ca="1">(P189-O189)/O189</f>
        <v>4.2415893455852213E-2</v>
      </c>
    </row>
    <row r="190" spans="1:17" ht="14.25" customHeight="1">
      <c r="A190" s="3" t="s">
        <v>346</v>
      </c>
      <c r="B190" s="3" t="s">
        <v>62</v>
      </c>
      <c r="C190" s="29" t="s">
        <v>347</v>
      </c>
      <c r="D190" s="3" t="s">
        <v>35</v>
      </c>
      <c r="E190" s="3" t="s">
        <v>46</v>
      </c>
      <c r="F190" s="12">
        <v>12176</v>
      </c>
      <c r="G190" s="12">
        <v>1005</v>
      </c>
      <c r="H190" s="12">
        <v>862</v>
      </c>
      <c r="I190" s="12">
        <v>974</v>
      </c>
      <c r="J190" s="13">
        <v>2285</v>
      </c>
      <c r="K190" s="12">
        <v>116619</v>
      </c>
      <c r="L190" s="3" t="s">
        <v>24</v>
      </c>
      <c r="M190" s="30">
        <f>(F190 + G190 + H190 ) / K190</f>
        <v>0.12041777068916729</v>
      </c>
      <c r="N190" t="str">
        <f>IF(AND(C190&gt;=$T$3,C190&lt;=$U$3),"During","Before")</f>
        <v>Before</v>
      </c>
      <c r="O190" s="30">
        <f ca="1">AVERAGEIF($N$2:$N$301,"Before",M190)</f>
        <v>0.20657090558678806</v>
      </c>
      <c r="P190" s="30">
        <f ca="1">AVERAGEIF($N$2:$N$301,"During",M190)</f>
        <v>0.2016619413174281</v>
      </c>
      <c r="Q190" s="30">
        <f ca="1">(P190-O190)/O190</f>
        <v>-2.3764064234580846E-2</v>
      </c>
    </row>
    <row r="191" spans="1:17" ht="14.25" customHeight="1">
      <c r="A191" s="3" t="s">
        <v>348</v>
      </c>
      <c r="B191" s="3" t="s">
        <v>14</v>
      </c>
      <c r="C191" s="29">
        <v>45926</v>
      </c>
      <c r="D191" s="3" t="s">
        <v>16</v>
      </c>
      <c r="E191" s="3" t="s">
        <v>103</v>
      </c>
      <c r="F191" s="12">
        <v>16369</v>
      </c>
      <c r="G191" s="12">
        <v>1452</v>
      </c>
      <c r="H191" s="12">
        <v>493</v>
      </c>
      <c r="I191" s="12">
        <v>1217</v>
      </c>
      <c r="J191" s="13">
        <v>91440</v>
      </c>
      <c r="K191" s="12">
        <v>149834</v>
      </c>
      <c r="L191" s="3" t="s">
        <v>37</v>
      </c>
      <c r="M191" s="30">
        <f>(F191 + G191 + H191 ) / K191</f>
        <v>0.12222859965027964</v>
      </c>
      <c r="N191" t="str">
        <f>IF(AND(C191&gt;=$T$6,C191&lt;=$U$6),"During","Before")</f>
        <v>During</v>
      </c>
      <c r="O191" s="30">
        <f ca="1">AVERAGEIF($N$2:$N$301,"Before",M191)</f>
        <v>0.20677754970141984</v>
      </c>
      <c r="P191" s="30">
        <f ca="1">AVERAGEIF($N$2:$N$301,"During",M191)</f>
        <v>0.20474202353085511</v>
      </c>
      <c r="Q191" s="30">
        <f ca="1">(P191-O191)/O191</f>
        <v>-9.8440385501422818E-3</v>
      </c>
    </row>
    <row r="192" spans="1:17" ht="14.25" customHeight="1">
      <c r="A192" s="3" t="s">
        <v>349</v>
      </c>
      <c r="B192" s="3" t="s">
        <v>62</v>
      </c>
      <c r="C192" s="29" t="s">
        <v>350</v>
      </c>
      <c r="D192" s="3" t="s">
        <v>16</v>
      </c>
      <c r="E192" s="3" t="s">
        <v>46</v>
      </c>
      <c r="F192" s="12">
        <v>24355</v>
      </c>
      <c r="G192" s="12">
        <v>1087</v>
      </c>
      <c r="H192" s="12">
        <v>686</v>
      </c>
      <c r="I192" s="12">
        <v>2426</v>
      </c>
      <c r="J192" s="13">
        <v>24963</v>
      </c>
      <c r="K192" s="12">
        <v>212307</v>
      </c>
      <c r="L192" s="3" t="s">
        <v>33</v>
      </c>
      <c r="M192" s="30">
        <f>(F192 + G192 + H192 ) / K192</f>
        <v>0.1230670679723231</v>
      </c>
      <c r="N192" s="8" t="str">
        <f>IF(AND(C192&gt;=$T$5,C192&lt;=$U$5),"During","Before")</f>
        <v>Before</v>
      </c>
      <c r="O192" s="30">
        <f ca="1">AVERAGEIF($N$2:$N$301,"Before",M192)</f>
        <v>0.20708019320310769</v>
      </c>
      <c r="P192" s="30">
        <f ca="1">AVERAGEIF($N$2:$N$301,"During",M192)</f>
        <v>0.20737458361733727</v>
      </c>
      <c r="Q192" s="30">
        <f ca="1">(P192-O192)/O192</f>
        <v>1.4216251669266591E-3</v>
      </c>
    </row>
    <row r="193" spans="1:17" ht="14.25" customHeight="1">
      <c r="A193" s="3" t="s">
        <v>351</v>
      </c>
      <c r="B193" s="3" t="s">
        <v>20</v>
      </c>
      <c r="C193" s="29" t="s">
        <v>352</v>
      </c>
      <c r="D193" s="3" t="s">
        <v>22</v>
      </c>
      <c r="E193" s="3" t="s">
        <v>40</v>
      </c>
      <c r="F193" s="12">
        <v>24877</v>
      </c>
      <c r="G193" s="12">
        <v>262</v>
      </c>
      <c r="H193" s="12">
        <v>513</v>
      </c>
      <c r="I193" s="12">
        <v>648</v>
      </c>
      <c r="J193" s="13">
        <v>47544</v>
      </c>
      <c r="K193" s="12">
        <v>208280</v>
      </c>
      <c r="L193" s="3" t="s">
        <v>28</v>
      </c>
      <c r="M193" s="30">
        <f>(F193 + G193 + H193 ) / K193</f>
        <v>0.12316112924908777</v>
      </c>
      <c r="N193" t="str">
        <f>IF(AND(C193&gt;=$T$4,C193&lt;=$U$4),"During","Before")</f>
        <v>Before</v>
      </c>
      <c r="O193" s="30">
        <f ca="1">AVERAGEIF($N$2:$N$301,"Before",M193)</f>
        <v>0.20738069323332062</v>
      </c>
      <c r="P193" s="30">
        <f ca="1">AVERAGEIF($N$2:$N$301,"During",M193)</f>
        <v>0.21000502100834903</v>
      </c>
      <c r="Q193" s="30">
        <f ca="1">(P193-O193)/O193</f>
        <v>1.2654638838900129E-2</v>
      </c>
    </row>
    <row r="194" spans="1:17" ht="14.25" customHeight="1">
      <c r="A194" s="3" t="s">
        <v>353</v>
      </c>
      <c r="B194" s="3" t="s">
        <v>14</v>
      </c>
      <c r="C194" s="29" t="s">
        <v>354</v>
      </c>
      <c r="D194" s="3" t="s">
        <v>16</v>
      </c>
      <c r="E194" s="3" t="s">
        <v>40</v>
      </c>
      <c r="F194" s="12">
        <v>8981</v>
      </c>
      <c r="G194" s="12">
        <v>1138</v>
      </c>
      <c r="H194" s="12">
        <v>764</v>
      </c>
      <c r="I194" s="12">
        <v>2555</v>
      </c>
      <c r="J194" s="13">
        <v>92810</v>
      </c>
      <c r="K194" s="12">
        <v>88320</v>
      </c>
      <c r="L194" s="3" t="s">
        <v>18</v>
      </c>
      <c r="M194" s="30">
        <f>(F194 + G194 + H194 ) / K194</f>
        <v>0.1232223731884058</v>
      </c>
      <c r="N194" t="str">
        <f>IF(AND(C194&gt;=$T$2,C194&lt;=$U$2),"During","Before")</f>
        <v>Before</v>
      </c>
      <c r="O194" s="30">
        <f ca="1">AVERAGEIF($N$2:$N$301,"Before",M194)</f>
        <v>0.20777380762576009</v>
      </c>
      <c r="P194" s="30">
        <f ca="1">AVERAGEIF($N$2:$N$301,"During",M194)</f>
        <v>0.21229646310991479</v>
      </c>
      <c r="Q194" s="30">
        <f ca="1">(P194-O194)/O194</f>
        <v>2.1767207021112404E-2</v>
      </c>
    </row>
    <row r="195" spans="1:17" ht="14.25" customHeight="1">
      <c r="A195" s="3" t="s">
        <v>355</v>
      </c>
      <c r="B195" s="3" t="s">
        <v>44</v>
      </c>
      <c r="C195" s="29" t="s">
        <v>159</v>
      </c>
      <c r="D195" s="3" t="s">
        <v>16</v>
      </c>
      <c r="E195" s="3" t="s">
        <v>51</v>
      </c>
      <c r="F195" s="12">
        <v>20384</v>
      </c>
      <c r="G195" s="12">
        <v>344</v>
      </c>
      <c r="H195" s="12">
        <v>956</v>
      </c>
      <c r="I195" s="12">
        <v>655</v>
      </c>
      <c r="J195" s="13">
        <v>67621</v>
      </c>
      <c r="K195" s="12">
        <v>175720</v>
      </c>
      <c r="L195" s="3" t="s">
        <v>28</v>
      </c>
      <c r="M195" s="30">
        <f>(F195 + G195 + H195 ) / K195</f>
        <v>0.12340086501251991</v>
      </c>
      <c r="N195" t="str">
        <f>IF(AND(C195&gt;=$T$4,C195&lt;=$U$4),"During","Before")</f>
        <v>Before</v>
      </c>
      <c r="O195" s="30">
        <f ca="1">AVERAGEIF($N$2:$N$301,"Before",M195)</f>
        <v>0.20795139062577336</v>
      </c>
      <c r="P195" s="30">
        <f ca="1">AVERAGEIF($N$2:$N$301,"During",M195)</f>
        <v>0.21545359399337946</v>
      </c>
      <c r="Q195" s="30">
        <f ca="1">(P195-O195)/O195</f>
        <v>3.607671651067227E-2</v>
      </c>
    </row>
    <row r="196" spans="1:17" ht="14.25" customHeight="1">
      <c r="A196" s="3" t="s">
        <v>356</v>
      </c>
      <c r="B196" s="3" t="s">
        <v>14</v>
      </c>
      <c r="C196" s="29" t="s">
        <v>131</v>
      </c>
      <c r="D196" s="3" t="s">
        <v>31</v>
      </c>
      <c r="E196" s="3" t="s">
        <v>67</v>
      </c>
      <c r="F196" s="12">
        <v>20271</v>
      </c>
      <c r="G196" s="12">
        <v>512</v>
      </c>
      <c r="H196" s="12">
        <v>286</v>
      </c>
      <c r="I196" s="12">
        <v>1982</v>
      </c>
      <c r="J196" s="13">
        <v>43225</v>
      </c>
      <c r="K196" s="12">
        <v>168335</v>
      </c>
      <c r="L196" s="3" t="s">
        <v>24</v>
      </c>
      <c r="M196" s="30">
        <f>(F196 + G196 + H196 ) / K196</f>
        <v>0.12516113701844536</v>
      </c>
      <c r="N196" t="str">
        <f>IF(AND(C196&gt;=$T$3,C196&lt;=$U$3),"During","Before")</f>
        <v>During</v>
      </c>
      <c r="O196" s="30">
        <f ca="1">AVERAGEIF($N$2:$N$301,"Before",M196)</f>
        <v>0.20787773692341616</v>
      </c>
      <c r="P196" s="30">
        <f ca="1">AVERAGEIF($N$2:$N$301,"During",M196)</f>
        <v>0.2195780229302545</v>
      </c>
      <c r="Q196" s="30">
        <f ca="1">(P196-O196)/O196</f>
        <v>5.6284459221089267E-2</v>
      </c>
    </row>
    <row r="197" spans="1:17" ht="14.25" customHeight="1">
      <c r="A197" s="3" t="s">
        <v>357</v>
      </c>
      <c r="B197" s="3" t="s">
        <v>62</v>
      </c>
      <c r="C197" s="29" t="s">
        <v>358</v>
      </c>
      <c r="D197" s="3" t="s">
        <v>22</v>
      </c>
      <c r="E197" s="3" t="s">
        <v>60</v>
      </c>
      <c r="F197" s="12">
        <v>18608</v>
      </c>
      <c r="G197" s="12">
        <v>1338</v>
      </c>
      <c r="H197" s="12">
        <v>365</v>
      </c>
      <c r="I197" s="12">
        <v>2289</v>
      </c>
      <c r="J197" s="13">
        <v>20785</v>
      </c>
      <c r="K197" s="12">
        <v>161999</v>
      </c>
      <c r="L197" s="3" t="s">
        <v>33</v>
      </c>
      <c r="M197" s="30">
        <f>(F197 + G197 + H197 ) / K197</f>
        <v>0.12537731714393299</v>
      </c>
      <c r="N197" s="8" t="str">
        <f>IF(AND(C197&gt;=$T$5,C197&lt;=$U$5),"During","Before")</f>
        <v>Before</v>
      </c>
      <c r="O197" s="30">
        <f ca="1">AVERAGEIF($N$2:$N$301,"Before",M197)</f>
        <v>0.20760285319134394</v>
      </c>
      <c r="P197" s="30">
        <f ca="1">AVERAGEIF($N$2:$N$301,"During",M197)</f>
        <v>0.22437492973329845</v>
      </c>
      <c r="Q197" s="30">
        <f ca="1">(P197-O197)/O197</f>
        <v>8.0789239088616835E-2</v>
      </c>
    </row>
    <row r="198" spans="1:17" ht="14.25" customHeight="1">
      <c r="A198" s="3" t="s">
        <v>359</v>
      </c>
      <c r="B198" s="3" t="s">
        <v>14</v>
      </c>
      <c r="C198" s="29" t="s">
        <v>360</v>
      </c>
      <c r="D198" s="3" t="s">
        <v>22</v>
      </c>
      <c r="E198" s="3" t="s">
        <v>67</v>
      </c>
      <c r="F198" s="12">
        <v>23168</v>
      </c>
      <c r="G198" s="12">
        <v>1265</v>
      </c>
      <c r="H198" s="12">
        <v>441</v>
      </c>
      <c r="I198" s="12">
        <v>1612</v>
      </c>
      <c r="J198" s="13">
        <v>66615</v>
      </c>
      <c r="K198" s="12">
        <v>197795</v>
      </c>
      <c r="L198" s="3" t="s">
        <v>24</v>
      </c>
      <c r="M198" s="30">
        <f>(F198 + G198 + H198 ) / K198</f>
        <v>0.12575646502692181</v>
      </c>
      <c r="N198" t="str">
        <f>IF(AND(C198&gt;=$T$3,C198&lt;=$U$3),"During","Before")</f>
        <v>Before</v>
      </c>
      <c r="O198" s="30">
        <f ca="1">AVERAGEIF($N$2:$N$301,"Before",M198)</f>
        <v>0.207257091707854</v>
      </c>
      <c r="P198" s="30">
        <f ca="1">AVERAGEIF($N$2:$N$301,"During",M198)</f>
        <v>0.22940120144664347</v>
      </c>
      <c r="Q198" s="30">
        <f ca="1">(P198-O198)/O198</f>
        <v>0.10684367688611313</v>
      </c>
    </row>
    <row r="199" spans="1:17" ht="14.25" customHeight="1">
      <c r="A199" s="3" t="s">
        <v>361</v>
      </c>
      <c r="B199" s="3" t="s">
        <v>14</v>
      </c>
      <c r="C199" s="29">
        <v>45923</v>
      </c>
      <c r="D199" s="3" t="s">
        <v>35</v>
      </c>
      <c r="E199" s="3" t="s">
        <v>17</v>
      </c>
      <c r="F199" s="12">
        <v>17147</v>
      </c>
      <c r="G199" s="12">
        <v>286</v>
      </c>
      <c r="H199" s="12">
        <v>291</v>
      </c>
      <c r="I199" s="12">
        <v>2439</v>
      </c>
      <c r="J199" s="13">
        <v>45631</v>
      </c>
      <c r="K199" s="12">
        <v>140494</v>
      </c>
      <c r="L199" s="3" t="s">
        <v>37</v>
      </c>
      <c r="M199" s="30">
        <f>(F199 + G199 + H199 ) / K199</f>
        <v>0.12615485358805359</v>
      </c>
      <c r="N199" t="str">
        <f>IF(AND(C199&gt;=$T$6,C199&lt;=$U$6),"During","Before")</f>
        <v>During</v>
      </c>
      <c r="O199" s="30">
        <f ca="1">AVERAGEIF($N$2:$N$301,"Before",M199)</f>
        <v>0.20687062274811402</v>
      </c>
      <c r="P199" s="30">
        <f ca="1">AVERAGEIF($N$2:$N$301,"During",M199)</f>
        <v>0.23452868382936484</v>
      </c>
      <c r="Q199" s="30">
        <f ca="1">(P199-O199)/O199</f>
        <v>0.13369738396798525</v>
      </c>
    </row>
    <row r="200" spans="1:17" ht="14.25" customHeight="1">
      <c r="A200" s="3" t="s">
        <v>362</v>
      </c>
      <c r="B200" s="3" t="s">
        <v>20</v>
      </c>
      <c r="C200" s="29" t="s">
        <v>15</v>
      </c>
      <c r="D200" s="3" t="s">
        <v>16</v>
      </c>
      <c r="E200" s="3" t="s">
        <v>67</v>
      </c>
      <c r="F200" s="12">
        <v>19055</v>
      </c>
      <c r="G200" s="12">
        <v>443</v>
      </c>
      <c r="H200" s="12">
        <v>976</v>
      </c>
      <c r="I200" s="12">
        <v>869</v>
      </c>
      <c r="J200" s="13">
        <v>75437</v>
      </c>
      <c r="K200" s="12">
        <v>161863</v>
      </c>
      <c r="L200" s="3" t="s">
        <v>28</v>
      </c>
      <c r="M200" s="30">
        <f>(F200 + G200 + H200 ) / K200</f>
        <v>0.12648968572187591</v>
      </c>
      <c r="N200" t="str">
        <f>IF(AND(C200&gt;=$T$4,C200&lt;=$U$4),"During","Before")</f>
        <v>Before</v>
      </c>
      <c r="O200" s="30">
        <f ca="1">AVERAGEIF($N$2:$N$301,"Before",M200)</f>
        <v>0.20623646803273554</v>
      </c>
      <c r="P200" s="30">
        <f ca="1">AVERAGEIF($N$2:$N$301,"During",M200)</f>
        <v>0.24050359957438025</v>
      </c>
      <c r="Q200" s="30">
        <f ca="1">(P200-O200)/O200</f>
        <v>0.16615456940527873</v>
      </c>
    </row>
    <row r="201" spans="1:17" ht="14.25" customHeight="1">
      <c r="A201" s="3" t="s">
        <v>363</v>
      </c>
      <c r="B201" s="3" t="s">
        <v>20</v>
      </c>
      <c r="C201" s="29" t="s">
        <v>283</v>
      </c>
      <c r="D201" s="3" t="s">
        <v>22</v>
      </c>
      <c r="E201" s="3" t="s">
        <v>32</v>
      </c>
      <c r="F201" s="12">
        <v>5086</v>
      </c>
      <c r="G201" s="12">
        <v>1336</v>
      </c>
      <c r="H201" s="12">
        <v>897</v>
      </c>
      <c r="I201" s="12">
        <v>1715</v>
      </c>
      <c r="J201" s="13">
        <v>60592</v>
      </c>
      <c r="K201" s="12">
        <v>57772</v>
      </c>
      <c r="L201" s="3" t="s">
        <v>28</v>
      </c>
      <c r="M201" s="30">
        <f>(F201 + G201 + H201 ) / K201</f>
        <v>0.12668766876687668</v>
      </c>
      <c r="N201" t="str">
        <f>IF(AND(C201&gt;=$T$4,C201&lt;=$U$4),"During","Before")</f>
        <v>Before</v>
      </c>
      <c r="O201" s="30">
        <f ca="1">AVERAGEIF($N$2:$N$301,"Before",M201)</f>
        <v>0.2056760363775724</v>
      </c>
      <c r="P201" s="30">
        <f ca="1">AVERAGEIF($N$2:$N$301,"During",M201)</f>
        <v>0.24614091244114142</v>
      </c>
      <c r="Q201" s="30">
        <f ca="1">(P201-O201)/O201</f>
        <v>0.19674083950784188</v>
      </c>
    </row>
    <row r="202" spans="1:17" ht="14.25" customHeight="1">
      <c r="A202" s="3" t="s">
        <v>364</v>
      </c>
      <c r="B202" s="3" t="s">
        <v>44</v>
      </c>
      <c r="C202" s="29" t="s">
        <v>365</v>
      </c>
      <c r="D202" s="3" t="s">
        <v>16</v>
      </c>
      <c r="E202" s="3" t="s">
        <v>60</v>
      </c>
      <c r="F202" s="12">
        <v>23508</v>
      </c>
      <c r="G202" s="12">
        <v>585</v>
      </c>
      <c r="H202" s="12">
        <v>743</v>
      </c>
      <c r="I202" s="12">
        <v>2155</v>
      </c>
      <c r="J202" s="13">
        <v>3704</v>
      </c>
      <c r="K202" s="12">
        <v>194268</v>
      </c>
      <c r="L202" s="3" t="s">
        <v>24</v>
      </c>
      <c r="M202" s="30">
        <f>(F202 + G202 + H202 ) / K202</f>
        <v>0.1278440093067309</v>
      </c>
      <c r="N202" t="str">
        <f>IF(AND(C202&gt;=$T$3,C202&lt;=$U$3),"During","Before")</f>
        <v>Before</v>
      </c>
      <c r="O202" s="30">
        <f ca="1">AVERAGEIF($N$2:$N$301,"Before",M202)</f>
        <v>0.20534174726980459</v>
      </c>
      <c r="P202" s="30">
        <f ca="1">AVERAGEIF($N$2:$N$301,"During",M202)</f>
        <v>0.25091649962371348</v>
      </c>
      <c r="Q202" s="30">
        <f ca="1">(P202-O202)/O202</f>
        <v>0.22194586809484426</v>
      </c>
    </row>
    <row r="203" spans="1:17" ht="14.25" customHeight="1">
      <c r="A203" s="3" t="s">
        <v>366</v>
      </c>
      <c r="B203" s="3" t="s">
        <v>20</v>
      </c>
      <c r="C203" s="29" t="s">
        <v>367</v>
      </c>
      <c r="D203" s="3" t="s">
        <v>31</v>
      </c>
      <c r="E203" s="3" t="s">
        <v>17</v>
      </c>
      <c r="F203" s="12">
        <v>23949</v>
      </c>
      <c r="G203" s="12">
        <v>356</v>
      </c>
      <c r="H203" s="12">
        <v>616</v>
      </c>
      <c r="I203" s="12">
        <v>1847</v>
      </c>
      <c r="J203" s="13">
        <v>3144</v>
      </c>
      <c r="K203" s="12">
        <v>192999</v>
      </c>
      <c r="L203" s="3" t="s">
        <v>24</v>
      </c>
      <c r="M203" s="30">
        <f>(F203 + G203 + H203 ) / K203</f>
        <v>0.12912502137316773</v>
      </c>
      <c r="N203" t="str">
        <f>IF(AND(C203&gt;=$T$3,C203&lt;=$U$3),"During","Before")</f>
        <v>Before</v>
      </c>
      <c r="O203" s="30">
        <f ca="1">AVERAGEIF($N$2:$N$301,"Before",M203)</f>
        <v>0.20864799909051271</v>
      </c>
      <c r="P203" s="30">
        <f ca="1">AVERAGEIF($N$2:$N$301,"During",M203)</f>
        <v>0.24449673049522561</v>
      </c>
      <c r="Q203" s="30">
        <f ca="1">(P203-O203)/O203</f>
        <v>0.17181440301836545</v>
      </c>
    </row>
    <row r="204" spans="1:17" ht="14.25" customHeight="1">
      <c r="A204" s="3" t="s">
        <v>368</v>
      </c>
      <c r="B204" s="3" t="s">
        <v>14</v>
      </c>
      <c r="C204" s="29" t="s">
        <v>369</v>
      </c>
      <c r="D204" s="3" t="s">
        <v>31</v>
      </c>
      <c r="E204" s="3" t="s">
        <v>36</v>
      </c>
      <c r="F204" s="12">
        <v>15051</v>
      </c>
      <c r="G204" s="12">
        <v>268</v>
      </c>
      <c r="H204" s="12">
        <v>251</v>
      </c>
      <c r="I204" s="12">
        <v>783</v>
      </c>
      <c r="J204" s="13">
        <v>34154</v>
      </c>
      <c r="K204" s="12">
        <v>119671</v>
      </c>
      <c r="L204" s="3" t="s">
        <v>24</v>
      </c>
      <c r="M204" s="30">
        <f>(F204 + G204 + H204 ) / K204</f>
        <v>0.13010670922779954</v>
      </c>
      <c r="N204" t="str">
        <f>IF(AND(C204&gt;=$T$3,C204&lt;=$U$3),"During","Before")</f>
        <v>Before</v>
      </c>
      <c r="O204" s="30">
        <f ca="1">AVERAGEIF($N$2:$N$301,"Before",M204)</f>
        <v>0.21223857921844574</v>
      </c>
      <c r="P204" s="30">
        <f ca="1">AVERAGEIF($N$2:$N$301,"During",M204)</f>
        <v>0.23626205345238954</v>
      </c>
      <c r="Q204" s="30">
        <f ca="1">(P204-O204)/O204</f>
        <v>0.11319089263793897</v>
      </c>
    </row>
    <row r="205" spans="1:17" ht="14.25" customHeight="1">
      <c r="A205" s="3" t="s">
        <v>370</v>
      </c>
      <c r="B205" s="3" t="s">
        <v>20</v>
      </c>
      <c r="C205" s="29" t="s">
        <v>297</v>
      </c>
      <c r="D205" s="3" t="s">
        <v>31</v>
      </c>
      <c r="E205" s="3" t="s">
        <v>103</v>
      </c>
      <c r="F205" s="12">
        <v>24516</v>
      </c>
      <c r="G205" s="12">
        <v>976</v>
      </c>
      <c r="H205" s="12">
        <v>974</v>
      </c>
      <c r="I205" s="12">
        <v>2675</v>
      </c>
      <c r="J205" s="13">
        <v>23275</v>
      </c>
      <c r="K205" s="12">
        <v>202932</v>
      </c>
      <c r="L205" s="3" t="s">
        <v>33</v>
      </c>
      <c r="M205" s="30">
        <f>(F205 + G205 + H205 ) / K205</f>
        <v>0.13041807107799658</v>
      </c>
      <c r="N205" s="8" t="str">
        <f>IF(AND(C205&gt;=$T$5,C205&lt;=$U$5),"During","Before")</f>
        <v>Before</v>
      </c>
      <c r="O205" s="30">
        <f ca="1">AVERAGEIF($N$2:$N$301,"Before",M205)</f>
        <v>0.21574977337449658</v>
      </c>
      <c r="P205" s="30">
        <f ca="1">AVERAGEIF($N$2:$N$301,"During",M205)</f>
        <v>0.22743480082358042</v>
      </c>
      <c r="Q205" s="30">
        <f ca="1">(P205-O205)/O205</f>
        <v>5.4160091416648078E-2</v>
      </c>
    </row>
    <row r="206" spans="1:17" ht="14.25" customHeight="1">
      <c r="A206" s="3" t="s">
        <v>371</v>
      </c>
      <c r="B206" s="3" t="s">
        <v>62</v>
      </c>
      <c r="C206" s="29" t="s">
        <v>372</v>
      </c>
      <c r="D206" s="3" t="s">
        <v>16</v>
      </c>
      <c r="E206" s="3" t="s">
        <v>40</v>
      </c>
      <c r="F206" s="12">
        <v>20444</v>
      </c>
      <c r="G206" s="12">
        <v>233</v>
      </c>
      <c r="H206" s="12">
        <v>189</v>
      </c>
      <c r="I206" s="12">
        <v>2879</v>
      </c>
      <c r="J206" s="13">
        <v>28185</v>
      </c>
      <c r="K206" s="12">
        <v>159891</v>
      </c>
      <c r="L206" s="3" t="s">
        <v>24</v>
      </c>
      <c r="M206" s="30">
        <f>(F206 + G206 + H206 ) / K206</f>
        <v>0.13050140408153055</v>
      </c>
      <c r="N206" t="str">
        <f>IF(AND(C206&gt;=$T$3,C206&lt;=$U$3),"During","Before")</f>
        <v>Before</v>
      </c>
      <c r="O206" s="30">
        <f ca="1">AVERAGEIF($N$2:$N$301,"Before",M206)</f>
        <v>0.21593899984706003</v>
      </c>
      <c r="P206" s="30">
        <f ca="1">AVERAGEIF($N$2:$N$301,"During",M206)</f>
        <v>0.23115907787142836</v>
      </c>
      <c r="Q206" s="30">
        <f ca="1">(P206-O206)/O206</f>
        <v>7.0483229222827015E-2</v>
      </c>
    </row>
    <row r="207" spans="1:17" ht="14.25" customHeight="1">
      <c r="A207" s="3" t="s">
        <v>373</v>
      </c>
      <c r="B207" s="3" t="s">
        <v>44</v>
      </c>
      <c r="C207" s="29">
        <v>45925</v>
      </c>
      <c r="D207" s="3" t="s">
        <v>31</v>
      </c>
      <c r="E207" s="3" t="s">
        <v>88</v>
      </c>
      <c r="F207" s="12">
        <v>20564</v>
      </c>
      <c r="G207" s="12">
        <v>1433</v>
      </c>
      <c r="H207" s="12">
        <v>488</v>
      </c>
      <c r="I207" s="12">
        <v>1015</v>
      </c>
      <c r="J207" s="13">
        <v>24333</v>
      </c>
      <c r="K207" s="12">
        <v>172130</v>
      </c>
      <c r="L207" s="3" t="s">
        <v>37</v>
      </c>
      <c r="M207" s="30">
        <f>(F207 + G207 + H207 ) / K207</f>
        <v>0.13062801371056759</v>
      </c>
      <c r="N207" t="str">
        <f>IF(AND(C207&gt;=$T$6,C207&lt;=$U$6),"During","Before")</f>
        <v>During</v>
      </c>
      <c r="O207" s="30">
        <f ca="1">AVERAGEIF($N$2:$N$301,"Before",M207)</f>
        <v>0.21603592755487033</v>
      </c>
      <c r="P207" s="30">
        <f ca="1">AVERAGEIF($N$2:$N$301,"During",M207)</f>
        <v>0.2352680826067938</v>
      </c>
      <c r="Q207" s="30">
        <f ca="1">(P207-O207)/O207</f>
        <v>8.9022947569860789E-2</v>
      </c>
    </row>
    <row r="208" spans="1:17" ht="14.25" customHeight="1">
      <c r="A208" s="3" t="s">
        <v>374</v>
      </c>
      <c r="B208" s="3" t="s">
        <v>44</v>
      </c>
      <c r="C208" s="29" t="s">
        <v>76</v>
      </c>
      <c r="D208" s="3" t="s">
        <v>16</v>
      </c>
      <c r="E208" s="3" t="s">
        <v>32</v>
      </c>
      <c r="F208" s="12">
        <v>7713</v>
      </c>
      <c r="G208" s="12">
        <v>575</v>
      </c>
      <c r="H208" s="12">
        <v>417</v>
      </c>
      <c r="I208" s="12">
        <v>336</v>
      </c>
      <c r="J208" s="13">
        <v>23275</v>
      </c>
      <c r="K208" s="12">
        <v>66017</v>
      </c>
      <c r="L208" s="3" t="s">
        <v>24</v>
      </c>
      <c r="M208" s="30">
        <f>(F208 + G208 + H208 ) / K208</f>
        <v>0.13185997546086614</v>
      </c>
      <c r="N208" t="str">
        <f>IF(AND(C208&gt;=$T$3,C208&lt;=$U$3),"During","Before")</f>
        <v>Before</v>
      </c>
      <c r="O208" s="30">
        <f ca="1">AVERAGEIF($N$2:$N$301,"Before",M208)</f>
        <v>0.21578004791670277</v>
      </c>
      <c r="P208" s="30">
        <f ca="1">AVERAGEIF($N$2:$N$301,"During",M208)</f>
        <v>0.24077328717031343</v>
      </c>
      <c r="Q208" s="30">
        <f ca="1">(P208-O208)/O208</f>
        <v>0.11582738763344219</v>
      </c>
    </row>
    <row r="209" spans="1:17" ht="14.25" customHeight="1">
      <c r="A209" s="3" t="s">
        <v>375</v>
      </c>
      <c r="B209" s="3" t="s">
        <v>20</v>
      </c>
      <c r="C209" s="29" t="s">
        <v>376</v>
      </c>
      <c r="D209" s="3" t="s">
        <v>16</v>
      </c>
      <c r="E209" s="3" t="s">
        <v>67</v>
      </c>
      <c r="F209" s="12">
        <v>15703</v>
      </c>
      <c r="G209" s="12">
        <v>1381</v>
      </c>
      <c r="H209" s="12">
        <v>639</v>
      </c>
      <c r="I209" s="12">
        <v>984</v>
      </c>
      <c r="J209" s="13">
        <v>10967</v>
      </c>
      <c r="K209" s="12">
        <v>133747</v>
      </c>
      <c r="L209" s="3" t="s">
        <v>18</v>
      </c>
      <c r="M209" s="30">
        <f>(F209 + G209 + H209 ) / K209</f>
        <v>0.13251138343289942</v>
      </c>
      <c r="N209" t="str">
        <f>IF(AND(C209&gt;=$T$2,C209&lt;=$U$2),"During","Before")</f>
        <v>Before</v>
      </c>
      <c r="O209" s="30">
        <f ca="1">AVERAGEIF($N$2:$N$301,"Before",M209)</f>
        <v>0.21518113349627818</v>
      </c>
      <c r="P209" s="30">
        <f ca="1">AVERAGEIF($N$2:$N$301,"During",M209)</f>
        <v>0.24752274714753769</v>
      </c>
      <c r="Q209" s="30">
        <f ca="1">(P209-O209)/O209</f>
        <v>0.15029948548820568</v>
      </c>
    </row>
    <row r="210" spans="1:17" ht="14.25" customHeight="1">
      <c r="A210" s="3" t="s">
        <v>377</v>
      </c>
      <c r="B210" s="3" t="s">
        <v>62</v>
      </c>
      <c r="C210" s="29" t="s">
        <v>231</v>
      </c>
      <c r="D210" s="3" t="s">
        <v>16</v>
      </c>
      <c r="E210" s="3" t="s">
        <v>17</v>
      </c>
      <c r="F210" s="12">
        <v>24928</v>
      </c>
      <c r="G210" s="12">
        <v>214</v>
      </c>
      <c r="H210" s="12">
        <v>765</v>
      </c>
      <c r="I210" s="12">
        <v>1556</v>
      </c>
      <c r="J210" s="13">
        <v>5239</v>
      </c>
      <c r="K210" s="12">
        <v>194571</v>
      </c>
      <c r="L210" s="3" t="s">
        <v>18</v>
      </c>
      <c r="M210" s="30">
        <f>(F210 + G210 + H210 ) / K210</f>
        <v>0.13314933880177415</v>
      </c>
      <c r="N210" t="str">
        <f>IF(AND(C210&gt;=$T$2,C210&lt;=$U$2),"During","Before")</f>
        <v>Before</v>
      </c>
      <c r="O210" s="30">
        <f ca="1">AVERAGEIF($N$2:$N$301,"Before",M210)</f>
        <v>0.21503356949694047</v>
      </c>
      <c r="P210" s="30">
        <f ca="1">AVERAGEIF($N$2:$N$301,"During",M210)</f>
        <v>0.25244074304306546</v>
      </c>
      <c r="Q210" s="30">
        <f ca="1">(P210-O210)/O210</f>
        <v>0.17395969212452306</v>
      </c>
    </row>
    <row r="211" spans="1:17" ht="14.25" customHeight="1">
      <c r="A211" s="3" t="s">
        <v>378</v>
      </c>
      <c r="B211" s="3" t="s">
        <v>20</v>
      </c>
      <c r="C211" s="29" t="s">
        <v>131</v>
      </c>
      <c r="D211" s="3" t="s">
        <v>35</v>
      </c>
      <c r="E211" s="3" t="s">
        <v>67</v>
      </c>
      <c r="F211" s="12">
        <v>20777</v>
      </c>
      <c r="G211" s="12">
        <v>962</v>
      </c>
      <c r="H211" s="12">
        <v>308</v>
      </c>
      <c r="I211" s="12">
        <v>2777</v>
      </c>
      <c r="J211" s="13">
        <v>25529</v>
      </c>
      <c r="K211" s="12">
        <v>165354</v>
      </c>
      <c r="L211" s="3" t="s">
        <v>33</v>
      </c>
      <c r="M211" s="30">
        <f>(F211 + G211 + H211 ) / K211</f>
        <v>0.13333212380710477</v>
      </c>
      <c r="N211" s="8" t="str">
        <f>IF(AND(C211&gt;=$T$5,C211&lt;=$U$5),"During","Before")</f>
        <v>Before</v>
      </c>
      <c r="O211" s="30">
        <f ca="1">AVERAGEIF($N$2:$N$301,"Before",M211)</f>
        <v>0.21810356162830088</v>
      </c>
      <c r="P211" s="30">
        <f ca="1">AVERAGEIF($N$2:$N$301,"During",M211)</f>
        <v>0.2466175196348421</v>
      </c>
      <c r="Q211" s="30">
        <f ca="1">(P211-O211)/O211</f>
        <v>0.13073586599716158</v>
      </c>
    </row>
    <row r="212" spans="1:17" ht="14.25" customHeight="1">
      <c r="A212" s="3" t="s">
        <v>379</v>
      </c>
      <c r="B212" s="3" t="s">
        <v>44</v>
      </c>
      <c r="C212" s="29" t="s">
        <v>107</v>
      </c>
      <c r="D212" s="3" t="s">
        <v>35</v>
      </c>
      <c r="E212" s="3" t="s">
        <v>46</v>
      </c>
      <c r="F212" s="12">
        <v>9239</v>
      </c>
      <c r="G212" s="12">
        <v>1477</v>
      </c>
      <c r="H212" s="12">
        <v>631</v>
      </c>
      <c r="I212" s="12">
        <v>1556</v>
      </c>
      <c r="J212" s="13">
        <v>11580</v>
      </c>
      <c r="K212" s="12">
        <v>84738</v>
      </c>
      <c r="L212" s="3" t="s">
        <v>28</v>
      </c>
      <c r="M212" s="30">
        <f>(F212 + G212 + H212 ) / K212</f>
        <v>0.13390686586891359</v>
      </c>
      <c r="N212" t="str">
        <f>IF(AND(C212&gt;=$T$4,C212&lt;=$U$4),"During","Before")</f>
        <v>Before</v>
      </c>
      <c r="O212" s="30">
        <f ca="1">AVERAGEIF($N$2:$N$301,"Before",M212)</f>
        <v>0.22147526482066199</v>
      </c>
      <c r="P212" s="30">
        <f ca="1">AVERAGEIF($N$2:$N$301,"During",M212)</f>
        <v>0.23880287626927602</v>
      </c>
      <c r="Q212" s="30">
        <f ca="1">(P212-O212)/O212</f>
        <v>7.8237230973151509E-2</v>
      </c>
    </row>
    <row r="213" spans="1:17" ht="14.25" customHeight="1">
      <c r="A213" s="3" t="s">
        <v>380</v>
      </c>
      <c r="B213" s="3" t="s">
        <v>20</v>
      </c>
      <c r="C213" s="29" t="s">
        <v>381</v>
      </c>
      <c r="D213" s="3" t="s">
        <v>31</v>
      </c>
      <c r="E213" s="3" t="s">
        <v>36</v>
      </c>
      <c r="F213" s="12">
        <v>19022</v>
      </c>
      <c r="G213" s="12">
        <v>541</v>
      </c>
      <c r="H213" s="12">
        <v>575</v>
      </c>
      <c r="I213" s="12">
        <v>2063</v>
      </c>
      <c r="J213" s="13">
        <v>42743</v>
      </c>
      <c r="K213" s="12">
        <v>150169</v>
      </c>
      <c r="L213" s="3" t="s">
        <v>33</v>
      </c>
      <c r="M213" s="30">
        <f>(F213 + G213 + H213 ) / K213</f>
        <v>0.13410224480418728</v>
      </c>
      <c r="N213" s="8" t="str">
        <f>IF(AND(C213&gt;=$T$5,C213&lt;=$U$5),"During","Before")</f>
        <v>Before</v>
      </c>
      <c r="O213" s="30">
        <f ca="1">AVERAGEIF($N$2:$N$301,"Before",M213)</f>
        <v>0.22188072235668238</v>
      </c>
      <c r="P213" s="30">
        <f ca="1">AVERAGEIF($N$2:$N$301,"During",M213)</f>
        <v>0.24223672664329238</v>
      </c>
      <c r="Q213" s="30">
        <f ca="1">(P213-O213)/O213</f>
        <v>9.1743005297625108E-2</v>
      </c>
    </row>
    <row r="214" spans="1:17" ht="14.25" customHeight="1">
      <c r="A214" s="3" t="s">
        <v>382</v>
      </c>
      <c r="B214" s="3" t="s">
        <v>44</v>
      </c>
      <c r="C214" s="29">
        <v>45913</v>
      </c>
      <c r="D214" s="3" t="s">
        <v>16</v>
      </c>
      <c r="E214" s="3" t="s">
        <v>32</v>
      </c>
      <c r="F214" s="12">
        <v>17106</v>
      </c>
      <c r="G214" s="12">
        <v>702</v>
      </c>
      <c r="H214" s="12">
        <v>459</v>
      </c>
      <c r="I214" s="12">
        <v>999</v>
      </c>
      <c r="J214" s="13">
        <v>59627</v>
      </c>
      <c r="K214" s="12">
        <v>136059</v>
      </c>
      <c r="L214" s="3" t="s">
        <v>37</v>
      </c>
      <c r="M214" s="30">
        <f>(F214 + G214 + H214 ) / K214</f>
        <v>0.13425793222058077</v>
      </c>
      <c r="N214" t="str">
        <f>IF(AND(C214&gt;=$T$6,C214&lt;=$U$6),"During","Before")</f>
        <v>During</v>
      </c>
      <c r="O214" s="30">
        <f ca="1">AVERAGEIF($N$2:$N$301,"Before",M214)</f>
        <v>0.22578887861203414</v>
      </c>
      <c r="P214" s="30">
        <f ca="1">AVERAGEIF($N$2:$N$301,"During",M214)</f>
        <v>0.23140842860915406</v>
      </c>
      <c r="Q214" s="30">
        <f ca="1">(P214-O214)/O214</f>
        <v>2.4888515464819728E-2</v>
      </c>
    </row>
    <row r="215" spans="1:17" ht="14.25" customHeight="1">
      <c r="A215" s="3" t="s">
        <v>383</v>
      </c>
      <c r="B215" s="3" t="s">
        <v>44</v>
      </c>
      <c r="C215" s="29" t="s">
        <v>384</v>
      </c>
      <c r="D215" s="3" t="s">
        <v>35</v>
      </c>
      <c r="E215" s="3" t="s">
        <v>36</v>
      </c>
      <c r="F215" s="12">
        <v>24625</v>
      </c>
      <c r="G215" s="12">
        <v>749</v>
      </c>
      <c r="H215" s="12">
        <v>193</v>
      </c>
      <c r="I215" s="12">
        <v>1340</v>
      </c>
      <c r="J215" s="13">
        <v>4890</v>
      </c>
      <c r="K215" s="12">
        <v>189381</v>
      </c>
      <c r="L215" s="3" t="s">
        <v>33</v>
      </c>
      <c r="M215" s="30">
        <f>(F215 + G215 + H215 ) / K215</f>
        <v>0.13500298340382616</v>
      </c>
      <c r="N215" s="8" t="str">
        <f>IF(AND(C215&gt;=$T$5,C215&lt;=$U$5),"During","Before")</f>
        <v>Before</v>
      </c>
      <c r="O215" s="30">
        <f ca="1">AVERAGEIF($N$2:$N$301,"Before",M215)</f>
        <v>0.22543235997382732</v>
      </c>
      <c r="P215" s="30">
        <f ca="1">AVERAGEIF($N$2:$N$301,"During",M215)</f>
        <v>0.23871116421566207</v>
      </c>
      <c r="Q215" s="30">
        <f ca="1">(P215-O215)/O215</f>
        <v>5.8903718363133045E-2</v>
      </c>
    </row>
    <row r="216" spans="1:17" ht="14.25" customHeight="1">
      <c r="A216" s="3" t="s">
        <v>385</v>
      </c>
      <c r="B216" s="3" t="s">
        <v>20</v>
      </c>
      <c r="C216" s="29">
        <v>45943</v>
      </c>
      <c r="D216" s="3" t="s">
        <v>22</v>
      </c>
      <c r="E216" s="3" t="s">
        <v>17</v>
      </c>
      <c r="F216" s="12">
        <v>19302</v>
      </c>
      <c r="G216" s="12">
        <v>1367</v>
      </c>
      <c r="H216" s="12">
        <v>188</v>
      </c>
      <c r="I216" s="12">
        <v>637</v>
      </c>
      <c r="J216" s="13">
        <v>31404</v>
      </c>
      <c r="K216" s="12">
        <v>154044</v>
      </c>
      <c r="L216" s="3" t="s">
        <v>37</v>
      </c>
      <c r="M216" s="30">
        <f>(F216 + G216 + H216 ) / K216</f>
        <v>0.13539638025499209</v>
      </c>
      <c r="N216" t="str">
        <f>IF(AND(C216&gt;=$T$6,C216&lt;=$U$6),"During","Before")</f>
        <v>Before</v>
      </c>
      <c r="O216" s="30">
        <f ca="1">AVERAGEIF($N$2:$N$301,"Before",M216)</f>
        <v>0.22562507755448799</v>
      </c>
      <c r="P216" s="30">
        <f ca="1">AVERAGEIF($N$2:$N$301,"During",M216)</f>
        <v>0.24351986083589724</v>
      </c>
      <c r="Q216" s="30">
        <f ca="1">(P216-O216)/O216</f>
        <v>7.9312031602904162E-2</v>
      </c>
    </row>
    <row r="217" spans="1:17" ht="14.25" customHeight="1">
      <c r="A217" s="3" t="s">
        <v>386</v>
      </c>
      <c r="B217" s="3" t="s">
        <v>20</v>
      </c>
      <c r="C217" s="29" t="s">
        <v>387</v>
      </c>
      <c r="D217" s="3" t="s">
        <v>31</v>
      </c>
      <c r="E217" s="3" t="s">
        <v>46</v>
      </c>
      <c r="F217" s="12">
        <v>8229</v>
      </c>
      <c r="G217" s="12">
        <v>977</v>
      </c>
      <c r="H217" s="12">
        <v>152</v>
      </c>
      <c r="I217" s="12">
        <v>1633</v>
      </c>
      <c r="J217" s="13">
        <v>71447</v>
      </c>
      <c r="K217" s="12">
        <v>67723</v>
      </c>
      <c r="L217" s="3" t="s">
        <v>18</v>
      </c>
      <c r="M217" s="30">
        <f>(F217 + G217 + H217 ) / K217</f>
        <v>0.13818052950991538</v>
      </c>
      <c r="N217" t="str">
        <f>IF(AND(C217&gt;=$T$2,C217&lt;=$U$2),"During","Before")</f>
        <v>Before</v>
      </c>
      <c r="O217" s="30">
        <f ca="1">AVERAGEIF($N$2:$N$301,"Before",M217)</f>
        <v>0.23014541997876742</v>
      </c>
      <c r="P217" s="30">
        <f ca="1">AVERAGEIF($N$2:$N$301,"During",M217)</f>
        <v>0.22963316156131994</v>
      </c>
      <c r="Q217" s="30">
        <f ca="1">(P217-O217)/O217</f>
        <v>-2.2258032225657173E-3</v>
      </c>
    </row>
    <row r="218" spans="1:17" ht="14.25" customHeight="1">
      <c r="A218" s="3" t="s">
        <v>388</v>
      </c>
      <c r="B218" s="3" t="s">
        <v>14</v>
      </c>
      <c r="C218" s="29" t="s">
        <v>365</v>
      </c>
      <c r="D218" s="3" t="s">
        <v>22</v>
      </c>
      <c r="E218" s="3" t="s">
        <v>46</v>
      </c>
      <c r="F218" s="12">
        <v>19461</v>
      </c>
      <c r="G218" s="12">
        <v>1382</v>
      </c>
      <c r="H218" s="12">
        <v>445</v>
      </c>
      <c r="I218" s="12">
        <v>1307</v>
      </c>
      <c r="J218" s="13">
        <v>84691</v>
      </c>
      <c r="K218" s="12">
        <v>151453</v>
      </c>
      <c r="L218" s="3" t="s">
        <v>24</v>
      </c>
      <c r="M218" s="30">
        <f>(F218 + G218 + H218 ) / K218</f>
        <v>0.14055845707909384</v>
      </c>
      <c r="N218" t="str">
        <f>IF(AND(C218&gt;=$T$3,C218&lt;=$U$3),"During","Before")</f>
        <v>Before</v>
      </c>
      <c r="O218" s="30">
        <f ca="1">AVERAGEIF($N$2:$N$301,"Before",M218)</f>
        <v>0.234511131323316</v>
      </c>
      <c r="P218" s="30">
        <f ca="1">AVERAGEIF($N$2:$N$301,"During",M218)</f>
        <v>0.21433693569939169</v>
      </c>
      <c r="Q218" s="30">
        <f ca="1">(P218-O218)/O218</f>
        <v>-8.6026601424350008E-2</v>
      </c>
    </row>
    <row r="219" spans="1:17" ht="14.25" customHeight="1">
      <c r="A219" s="3" t="s">
        <v>389</v>
      </c>
      <c r="B219" s="3" t="s">
        <v>14</v>
      </c>
      <c r="C219" s="29">
        <v>45907</v>
      </c>
      <c r="D219" s="3" t="s">
        <v>35</v>
      </c>
      <c r="E219" s="3" t="s">
        <v>27</v>
      </c>
      <c r="F219" s="12">
        <v>4472</v>
      </c>
      <c r="G219" s="12">
        <v>1301</v>
      </c>
      <c r="H219" s="12">
        <v>956</v>
      </c>
      <c r="I219" s="12">
        <v>1186</v>
      </c>
      <c r="J219" s="13">
        <v>3363</v>
      </c>
      <c r="K219" s="12">
        <v>46471</v>
      </c>
      <c r="L219" s="3" t="s">
        <v>37</v>
      </c>
      <c r="M219" s="30">
        <f>(F219 + G219 + H219 ) / K219</f>
        <v>0.14479998278496267</v>
      </c>
      <c r="N219" t="str">
        <f>IF(AND(C219&gt;=$T$6,C219&lt;=$U$6),"During","Before")</f>
        <v>During</v>
      </c>
      <c r="O219" s="30">
        <f ca="1">AVERAGEIF($N$2:$N$301,"Before",M219)</f>
        <v>0.23498768712179352</v>
      </c>
      <c r="P219" s="30">
        <f ca="1">AVERAGEIF($N$2:$N$301,"During",M219)</f>
        <v>0.21869910171005394</v>
      </c>
      <c r="Q219" s="30">
        <f ca="1">(P219-O219)/O219</f>
        <v>-6.9316761279059058E-2</v>
      </c>
    </row>
    <row r="220" spans="1:17" ht="14.25" customHeight="1">
      <c r="A220" s="3" t="s">
        <v>390</v>
      </c>
      <c r="B220" s="3" t="s">
        <v>14</v>
      </c>
      <c r="C220" s="29" t="s">
        <v>391</v>
      </c>
      <c r="D220" s="3" t="s">
        <v>16</v>
      </c>
      <c r="E220" s="3" t="s">
        <v>46</v>
      </c>
      <c r="F220" s="12">
        <v>16277</v>
      </c>
      <c r="G220" s="12">
        <v>1109</v>
      </c>
      <c r="H220" s="12">
        <v>375</v>
      </c>
      <c r="I220" s="12">
        <v>2225</v>
      </c>
      <c r="J220" s="13">
        <v>1044</v>
      </c>
      <c r="K220" s="12">
        <v>121889</v>
      </c>
      <c r="L220" s="3" t="s">
        <v>24</v>
      </c>
      <c r="M220" s="30">
        <f>(F220 + G220 + H220 ) / K220</f>
        <v>0.14571454356012437</v>
      </c>
      <c r="N220" t="str">
        <f>IF(AND(C220&gt;=$T$3,C220&lt;=$U$3),"During","Before")</f>
        <v>Before</v>
      </c>
      <c r="O220" s="30">
        <f ca="1">AVERAGEIF($N$2:$N$301,"Before",M220)</f>
        <v>0.23560361728889584</v>
      </c>
      <c r="P220" s="30">
        <f ca="1">AVERAGEIF($N$2:$N$301,"During",M220)</f>
        <v>0.22214941977961639</v>
      </c>
      <c r="Q220" s="30">
        <f ca="1">(P220-O220)/O220</f>
        <v>-5.7105224716401497E-2</v>
      </c>
    </row>
    <row r="221" spans="1:17" ht="14.25" customHeight="1">
      <c r="A221" s="3" t="s">
        <v>392</v>
      </c>
      <c r="B221" s="3" t="s">
        <v>44</v>
      </c>
      <c r="C221" s="29" t="s">
        <v>393</v>
      </c>
      <c r="D221" s="3" t="s">
        <v>31</v>
      </c>
      <c r="E221" s="3" t="s">
        <v>103</v>
      </c>
      <c r="F221" s="12">
        <v>12453</v>
      </c>
      <c r="G221" s="12">
        <v>376</v>
      </c>
      <c r="H221" s="12">
        <v>320</v>
      </c>
      <c r="I221" s="12">
        <v>2546</v>
      </c>
      <c r="J221" s="13">
        <v>22617</v>
      </c>
      <c r="K221" s="12">
        <v>90138</v>
      </c>
      <c r="L221" s="3" t="s">
        <v>28</v>
      </c>
      <c r="M221" s="30">
        <f>(F221 + G221 + H221 ) / K221</f>
        <v>0.14587632297144379</v>
      </c>
      <c r="N221" t="str">
        <f>IF(AND(C221&gt;=$T$4,C221&lt;=$U$4),"During","Before")</f>
        <v>Before</v>
      </c>
      <c r="O221" s="30">
        <f ca="1">AVERAGEIF($N$2:$N$301,"Before",M221)</f>
        <v>0.23636136690177653</v>
      </c>
      <c r="P221" s="30">
        <f ca="1">AVERAGEIF($N$2:$N$301,"During",M221)</f>
        <v>0.2249436947557423</v>
      </c>
      <c r="Q221" s="30">
        <f ca="1">(P221-O221)/O221</f>
        <v>-4.8305999815862519E-2</v>
      </c>
    </row>
    <row r="222" spans="1:17" ht="14.25" customHeight="1">
      <c r="A222" s="3" t="s">
        <v>394</v>
      </c>
      <c r="B222" s="3" t="s">
        <v>20</v>
      </c>
      <c r="C222" s="29">
        <v>45912</v>
      </c>
      <c r="D222" s="3" t="s">
        <v>22</v>
      </c>
      <c r="E222" s="3" t="s">
        <v>32</v>
      </c>
      <c r="F222" s="12">
        <v>15918</v>
      </c>
      <c r="G222" s="12">
        <v>1114</v>
      </c>
      <c r="H222" s="12">
        <v>392</v>
      </c>
      <c r="I222" s="12">
        <v>1641</v>
      </c>
      <c r="J222" s="13">
        <v>28044</v>
      </c>
      <c r="K222" s="12">
        <v>118714</v>
      </c>
      <c r="L222" s="3" t="s">
        <v>37</v>
      </c>
      <c r="M222" s="30">
        <f>(F222 + G222 + H222 ) / K222</f>
        <v>0.14677291642097814</v>
      </c>
      <c r="N222" t="str">
        <f>IF(AND(C222&gt;=$T$6,C222&lt;=$U$6),"During","Before")</f>
        <v>During</v>
      </c>
      <c r="O222" s="30">
        <f ca="1">AVERAGEIF($N$2:$N$301,"Before",M222)</f>
        <v>0.23685763414773106</v>
      </c>
      <c r="P222" s="30">
        <f ca="1">AVERAGEIF($N$2:$N$301,"During",M222)</f>
        <v>0.22906736659126631</v>
      </c>
      <c r="Q222" s="30">
        <f ca="1">(P222-O222)/O222</f>
        <v>-3.289008430948806E-2</v>
      </c>
    </row>
    <row r="223" spans="1:17" ht="14.25" customHeight="1">
      <c r="A223" s="3" t="s">
        <v>395</v>
      </c>
      <c r="B223" s="3" t="s">
        <v>14</v>
      </c>
      <c r="C223" s="29" t="s">
        <v>396</v>
      </c>
      <c r="D223" s="3" t="s">
        <v>31</v>
      </c>
      <c r="E223" s="3" t="s">
        <v>60</v>
      </c>
      <c r="F223" s="12">
        <v>24711</v>
      </c>
      <c r="G223" s="12">
        <v>882</v>
      </c>
      <c r="H223" s="12">
        <v>876</v>
      </c>
      <c r="I223" s="12">
        <v>2728</v>
      </c>
      <c r="J223" s="13">
        <v>32015</v>
      </c>
      <c r="K223" s="12">
        <v>180272</v>
      </c>
      <c r="L223" s="3" t="s">
        <v>24</v>
      </c>
      <c r="M223" s="30">
        <f>(F223 + G223 + H223 ) / K223</f>
        <v>0.1468281263867933</v>
      </c>
      <c r="N223" t="str">
        <f>IF(AND(C223&gt;=$T$3,C223&lt;=$U$3),"During","Before")</f>
        <v>Before</v>
      </c>
      <c r="O223" s="30">
        <f ca="1">AVERAGEIF($N$2:$N$301,"Before",M223)</f>
        <v>0.23725325431264224</v>
      </c>
      <c r="P223" s="30">
        <f ca="1">AVERAGEIF($N$2:$N$301,"During",M223)</f>
        <v>0.23366518137751793</v>
      </c>
      <c r="Q223" s="30">
        <f ca="1">(P223-O223)/O223</f>
        <v>-1.5123387645490836E-2</v>
      </c>
    </row>
    <row r="224" spans="1:17" ht="14.25" customHeight="1">
      <c r="A224" s="3" t="s">
        <v>397</v>
      </c>
      <c r="B224" s="3" t="s">
        <v>44</v>
      </c>
      <c r="C224" s="29">
        <v>45914</v>
      </c>
      <c r="D224" s="3" t="s">
        <v>16</v>
      </c>
      <c r="E224" s="3" t="s">
        <v>17</v>
      </c>
      <c r="F224" s="12">
        <v>12787</v>
      </c>
      <c r="G224" s="12">
        <v>945</v>
      </c>
      <c r="H224" s="12">
        <v>974</v>
      </c>
      <c r="I224" s="12">
        <v>1407</v>
      </c>
      <c r="J224" s="13">
        <v>4037</v>
      </c>
      <c r="K224" s="12">
        <v>99182</v>
      </c>
      <c r="L224" s="3" t="s">
        <v>37</v>
      </c>
      <c r="M224" s="30">
        <f>(F224 + G224 + H224 ) / K224</f>
        <v>0.14827287209372669</v>
      </c>
      <c r="N224" t="str">
        <f>IF(AND(C224&gt;=$T$6,C224&lt;=$U$6),"During","Before")</f>
        <v>During</v>
      </c>
      <c r="O224" s="30">
        <f ca="1">AVERAGEIF($N$2:$N$301,"Before",M224)</f>
        <v>0.23802353773454876</v>
      </c>
      <c r="P224" s="30">
        <f ca="1">AVERAGEIF($N$2:$N$301,"During",M224)</f>
        <v>0.23660282344350589</v>
      </c>
      <c r="Q224" s="30">
        <f ca="1">(P224-O224)/O224</f>
        <v>-5.9687974750938224E-3</v>
      </c>
    </row>
    <row r="225" spans="1:17" ht="14.25" customHeight="1">
      <c r="A225" s="3" t="s">
        <v>398</v>
      </c>
      <c r="B225" s="3" t="s">
        <v>14</v>
      </c>
      <c r="C225" s="29">
        <v>45928</v>
      </c>
      <c r="D225" s="3" t="s">
        <v>16</v>
      </c>
      <c r="E225" s="3" t="s">
        <v>46</v>
      </c>
      <c r="F225" s="12">
        <v>21963</v>
      </c>
      <c r="G225" s="12">
        <v>1356</v>
      </c>
      <c r="H225" s="12">
        <v>349</v>
      </c>
      <c r="I225" s="12">
        <v>1206</v>
      </c>
      <c r="J225" s="13">
        <v>51755</v>
      </c>
      <c r="K225" s="12">
        <v>159273</v>
      </c>
      <c r="L225" s="3" t="s">
        <v>37</v>
      </c>
      <c r="M225" s="30">
        <f>(F225 + G225 + H225 ) / K225</f>
        <v>0.14860020216860359</v>
      </c>
      <c r="N225" t="str">
        <f>IF(AND(C225&gt;=$T$6,C225&lt;=$U$6),"During","Before")</f>
        <v>During</v>
      </c>
      <c r="O225" s="30">
        <f ca="1">AVERAGEIF($N$2:$N$301,"Before",M225)</f>
        <v>0.24253404272568327</v>
      </c>
      <c r="P225" s="30">
        <f ca="1">AVERAGEIF($N$2:$N$301,"During",M225)</f>
        <v>0.22119187205251922</v>
      </c>
      <c r="Q225" s="30">
        <f ca="1">(P225-O225)/O225</f>
        <v>-8.7996598058207379E-2</v>
      </c>
    </row>
    <row r="226" spans="1:17" ht="14.25" customHeight="1">
      <c r="A226" s="3" t="s">
        <v>399</v>
      </c>
      <c r="B226" s="3" t="s">
        <v>44</v>
      </c>
      <c r="C226" s="29" t="s">
        <v>400</v>
      </c>
      <c r="D226" s="3" t="s">
        <v>35</v>
      </c>
      <c r="E226" s="3" t="s">
        <v>40</v>
      </c>
      <c r="F226" s="12">
        <v>12954</v>
      </c>
      <c r="G226" s="12">
        <v>913</v>
      </c>
      <c r="H226" s="12">
        <v>722</v>
      </c>
      <c r="I226" s="12">
        <v>1049</v>
      </c>
      <c r="J226" s="13">
        <v>475</v>
      </c>
      <c r="K226" s="12">
        <v>97716</v>
      </c>
      <c r="L226" s="3" t="s">
        <v>33</v>
      </c>
      <c r="M226" s="30">
        <f>(F226 + G226 + H226 ) / K226</f>
        <v>0.14930001228048631</v>
      </c>
      <c r="N226" s="8" t="str">
        <f>IF(AND(C226&gt;=$T$5,C226&lt;=$U$5),"During","Before")</f>
        <v>Before</v>
      </c>
      <c r="O226" s="30">
        <f ca="1">AVERAGEIF($N$2:$N$301,"Before",M226)</f>
        <v>0.24348390241426882</v>
      </c>
      <c r="P226" s="30">
        <f ca="1">AVERAGEIF($N$2:$N$301,"During",M226)</f>
        <v>0.2238143859122261</v>
      </c>
      <c r="Q226" s="30">
        <f ca="1">(P226-O226)/O226</f>
        <v>-8.0783642396927605E-2</v>
      </c>
    </row>
    <row r="227" spans="1:17" ht="14.25" customHeight="1">
      <c r="A227" s="3" t="s">
        <v>401</v>
      </c>
      <c r="B227" s="3" t="s">
        <v>14</v>
      </c>
      <c r="C227" s="29" t="s">
        <v>142</v>
      </c>
      <c r="D227" s="3" t="s">
        <v>16</v>
      </c>
      <c r="E227" s="3" t="s">
        <v>67</v>
      </c>
      <c r="F227" s="12">
        <v>13470</v>
      </c>
      <c r="G227" s="12">
        <v>523</v>
      </c>
      <c r="H227" s="12">
        <v>280</v>
      </c>
      <c r="I227" s="12">
        <v>2682</v>
      </c>
      <c r="J227" s="13">
        <v>8538</v>
      </c>
      <c r="K227" s="12">
        <v>95204</v>
      </c>
      <c r="L227" s="3" t="s">
        <v>33</v>
      </c>
      <c r="M227" s="30">
        <f>(F227 + G227 + H227 ) / K227</f>
        <v>0.14992017142136885</v>
      </c>
      <c r="N227" s="8" t="str">
        <f>IF(AND(C227&gt;=$T$5,C227&lt;=$U$5),"During","Before")</f>
        <v>During</v>
      </c>
      <c r="O227" s="30">
        <f ca="1">AVERAGEIF($N$2:$N$301,"Before",M227)</f>
        <v>0.24379710055067272</v>
      </c>
      <c r="P227" s="30">
        <f ca="1">AVERAGEIF($N$2:$N$301,"During",M227)</f>
        <v>0.22956558634889834</v>
      </c>
      <c r="Q227" s="30">
        <f ca="1">(P227-O227)/O227</f>
        <v>-5.8374419423484425E-2</v>
      </c>
    </row>
    <row r="228" spans="1:17" ht="14.25" customHeight="1">
      <c r="A228" s="3" t="s">
        <v>402</v>
      </c>
      <c r="B228" s="3" t="s">
        <v>20</v>
      </c>
      <c r="C228" s="29">
        <v>45914</v>
      </c>
      <c r="D228" s="3" t="s">
        <v>16</v>
      </c>
      <c r="E228" s="3" t="s">
        <v>46</v>
      </c>
      <c r="F228" s="12">
        <v>19844</v>
      </c>
      <c r="G228" s="12">
        <v>1020</v>
      </c>
      <c r="H228" s="12">
        <v>247</v>
      </c>
      <c r="I228" s="12">
        <v>2354</v>
      </c>
      <c r="J228" s="13">
        <v>37792</v>
      </c>
      <c r="K228" s="12">
        <v>138317</v>
      </c>
      <c r="L228" s="3" t="s">
        <v>37</v>
      </c>
      <c r="M228" s="30">
        <f>(F228 + G228 + H228 ) / K228</f>
        <v>0.15262765965138053</v>
      </c>
      <c r="N228" t="str">
        <f>IF(AND(C228&gt;=$T$6,C228&lt;=$U$6),"During","Before")</f>
        <v>During</v>
      </c>
      <c r="O228" s="30">
        <f ca="1">AVERAGEIF($N$2:$N$301,"Before",M228)</f>
        <v>0.24467662232049642</v>
      </c>
      <c r="P228" s="30">
        <f ca="1">AVERAGEIF($N$2:$N$301,"During",M228)</f>
        <v>0.23265990182351814</v>
      </c>
      <c r="Q228" s="30">
        <f ca="1">(P228-O228)/O228</f>
        <v>-4.9112663003978534E-2</v>
      </c>
    </row>
    <row r="229" spans="1:17" ht="14.25" customHeight="1">
      <c r="A229" s="3" t="s">
        <v>403</v>
      </c>
      <c r="B229" s="3" t="s">
        <v>44</v>
      </c>
      <c r="C229" s="29" t="s">
        <v>142</v>
      </c>
      <c r="D229" s="3" t="s">
        <v>22</v>
      </c>
      <c r="E229" s="3" t="s">
        <v>36</v>
      </c>
      <c r="F229" s="12">
        <v>5266</v>
      </c>
      <c r="G229" s="12">
        <v>316</v>
      </c>
      <c r="H229" s="12">
        <v>837</v>
      </c>
      <c r="I229" s="12">
        <v>2276</v>
      </c>
      <c r="J229" s="13">
        <v>20967</v>
      </c>
      <c r="K229" s="12">
        <v>41969</v>
      </c>
      <c r="L229" s="3" t="s">
        <v>18</v>
      </c>
      <c r="M229" s="30">
        <f>(F229 + G229 + H229 ) / K229</f>
        <v>0.1529462222116324</v>
      </c>
      <c r="N229" t="str">
        <f>IF(AND(C229&gt;=$T$2,C229&lt;=$U$2),"During","Before")</f>
        <v>Before</v>
      </c>
      <c r="O229" s="30">
        <f ca="1">AVERAGEIF($N$2:$N$301,"Before",M229)</f>
        <v>0.24518857047986761</v>
      </c>
      <c r="P229" s="30">
        <f ca="1">AVERAGEIF($N$2:$N$301,"During",M229)</f>
        <v>0.2373777536009678</v>
      </c>
      <c r="Q229" s="30">
        <f ca="1">(P229-O229)/O229</f>
        <v>-3.1856366157741262E-2</v>
      </c>
    </row>
    <row r="230" spans="1:17" ht="14.25" customHeight="1">
      <c r="A230" s="3" t="s">
        <v>404</v>
      </c>
      <c r="B230" s="3" t="s">
        <v>62</v>
      </c>
      <c r="C230" s="29" t="s">
        <v>198</v>
      </c>
      <c r="D230" s="3" t="s">
        <v>35</v>
      </c>
      <c r="E230" s="3" t="s">
        <v>32</v>
      </c>
      <c r="F230" s="12">
        <v>14338</v>
      </c>
      <c r="G230" s="12">
        <v>1454</v>
      </c>
      <c r="H230" s="12">
        <v>697</v>
      </c>
      <c r="I230" s="12">
        <v>2703</v>
      </c>
      <c r="J230" s="13">
        <v>21288</v>
      </c>
      <c r="K230" s="12">
        <v>107649</v>
      </c>
      <c r="L230" s="3" t="s">
        <v>24</v>
      </c>
      <c r="M230" s="30">
        <f>(F230 + G230 + H230 ) / K230</f>
        <v>0.1531737405828201</v>
      </c>
      <c r="N230" t="str">
        <f>IF(AND(C230&gt;=$T$3,C230&lt;=$U$3),"During","Before")</f>
        <v>Before</v>
      </c>
      <c r="O230" s="30">
        <f ca="1">AVERAGEIF($N$2:$N$301,"Before",M230)</f>
        <v>0.24536342839779915</v>
      </c>
      <c r="P230" s="30">
        <f ca="1">AVERAGEIF($N$2:$N$301,"During",M230)</f>
        <v>0.2436797329171429</v>
      </c>
      <c r="Q230" s="30">
        <f ca="1">(P230-O230)/O230</f>
        <v>-6.8620474194162843E-3</v>
      </c>
    </row>
    <row r="231" spans="1:17" ht="14.25" customHeight="1">
      <c r="A231" s="3" t="s">
        <v>405</v>
      </c>
      <c r="B231" s="3" t="s">
        <v>20</v>
      </c>
      <c r="C231" s="29" t="s">
        <v>406</v>
      </c>
      <c r="D231" s="3" t="s">
        <v>31</v>
      </c>
      <c r="E231" s="3" t="s">
        <v>88</v>
      </c>
      <c r="F231" s="12">
        <v>10172</v>
      </c>
      <c r="G231" s="12">
        <v>1398</v>
      </c>
      <c r="H231" s="12">
        <v>394</v>
      </c>
      <c r="I231" s="12">
        <v>2358</v>
      </c>
      <c r="J231" s="13">
        <v>59610</v>
      </c>
      <c r="K231" s="12">
        <v>76321</v>
      </c>
      <c r="L231" s="3" t="s">
        <v>24</v>
      </c>
      <c r="M231" s="30">
        <f>(F231 + G231 + H231 ) / K231</f>
        <v>0.15675895231980713</v>
      </c>
      <c r="N231" t="str">
        <f>IF(AND(C231&gt;=$T$3,C231&lt;=$U$3),"During","Before")</f>
        <v>Before</v>
      </c>
      <c r="O231" s="30">
        <f ca="1">AVERAGEIF($N$2:$N$301,"Before",M231)</f>
        <v>0.24538250620490495</v>
      </c>
      <c r="P231" s="30">
        <f ca="1">AVERAGEIF($N$2:$N$301,"During",M231)</f>
        <v>0.2506861309942845</v>
      </c>
      <c r="Q231" s="30">
        <f ca="1">(P231-O231)/O231</f>
        <v>2.1613703728947921E-2</v>
      </c>
    </row>
    <row r="232" spans="1:17" ht="14.25" customHeight="1">
      <c r="A232" s="3" t="s">
        <v>407</v>
      </c>
      <c r="B232" s="3" t="s">
        <v>44</v>
      </c>
      <c r="C232" s="29" t="s">
        <v>408</v>
      </c>
      <c r="D232" s="3" t="s">
        <v>31</v>
      </c>
      <c r="E232" s="3" t="s">
        <v>60</v>
      </c>
      <c r="F232" s="12">
        <v>21758</v>
      </c>
      <c r="G232" s="12">
        <v>1380</v>
      </c>
      <c r="H232" s="12">
        <v>188</v>
      </c>
      <c r="I232" s="12">
        <v>1735</v>
      </c>
      <c r="J232" s="13">
        <v>20998</v>
      </c>
      <c r="K232" s="12">
        <v>147803</v>
      </c>
      <c r="L232" s="3" t="s">
        <v>18</v>
      </c>
      <c r="M232" s="30">
        <f>(F232 + G232 + H232 ) / K232</f>
        <v>0.15781817689762725</v>
      </c>
      <c r="N232" t="str">
        <f>IF(AND(C232&gt;=$T$2,C232&lt;=$U$2),"During","Before")</f>
        <v>Before</v>
      </c>
      <c r="O232" s="30">
        <f ca="1">AVERAGEIF($N$2:$N$301,"Before",M232)</f>
        <v>0.24583521716364659</v>
      </c>
      <c r="P232" s="30">
        <f ca="1">AVERAGEIF($N$2:$N$301,"During",M232)</f>
        <v>0.25551836401250183</v>
      </c>
      <c r="Q232" s="30">
        <f ca="1">(P232-O232)/O232</f>
        <v>3.9388770089882612E-2</v>
      </c>
    </row>
    <row r="233" spans="1:17" ht="14.25" customHeight="1">
      <c r="A233" s="3" t="s">
        <v>409</v>
      </c>
      <c r="B233" s="3" t="s">
        <v>20</v>
      </c>
      <c r="C233" s="29">
        <v>45920</v>
      </c>
      <c r="D233" s="3" t="s">
        <v>31</v>
      </c>
      <c r="E233" s="3" t="s">
        <v>17</v>
      </c>
      <c r="F233" s="12">
        <v>18633</v>
      </c>
      <c r="G233" s="12">
        <v>797</v>
      </c>
      <c r="H233" s="12">
        <v>303</v>
      </c>
      <c r="I233" s="12">
        <v>659</v>
      </c>
      <c r="J233" s="13">
        <v>7</v>
      </c>
      <c r="K233" s="12">
        <v>122189</v>
      </c>
      <c r="L233" s="3" t="s">
        <v>37</v>
      </c>
      <c r="M233" s="30">
        <f>(F233 + G233 + H233 ) / K233</f>
        <v>0.16149571565361859</v>
      </c>
      <c r="N233" t="str">
        <f>IF(AND(C233&gt;=$T$6,C233&lt;=$U$6),"During","Before")</f>
        <v>During</v>
      </c>
      <c r="O233" s="30">
        <f ca="1">AVERAGEIF($N$2:$N$301,"Before",M233)</f>
        <v>0.25059759823454592</v>
      </c>
      <c r="P233" s="30">
        <f ca="1">AVERAGEIF($N$2:$N$301,"During",M233)</f>
        <v>0.24103873618530289</v>
      </c>
      <c r="Q233" s="30">
        <f ca="1">(P233-O233)/O233</f>
        <v>-3.8144268407139505E-2</v>
      </c>
    </row>
    <row r="234" spans="1:17" ht="14.25" customHeight="1">
      <c r="A234" s="3" t="s">
        <v>410</v>
      </c>
      <c r="B234" s="3" t="s">
        <v>62</v>
      </c>
      <c r="C234" s="29" t="s">
        <v>281</v>
      </c>
      <c r="D234" s="3" t="s">
        <v>22</v>
      </c>
      <c r="E234" s="3" t="s">
        <v>103</v>
      </c>
      <c r="F234" s="12">
        <v>16594</v>
      </c>
      <c r="G234" s="12">
        <v>809</v>
      </c>
      <c r="H234" s="12">
        <v>784</v>
      </c>
      <c r="I234" s="12">
        <v>1655</v>
      </c>
      <c r="J234" s="13">
        <v>35505</v>
      </c>
      <c r="K234" s="12">
        <v>112588</v>
      </c>
      <c r="L234" s="3" t="s">
        <v>28</v>
      </c>
      <c r="M234" s="30">
        <f>(F234 + G234 + H234 ) / K234</f>
        <v>0.16153586527871533</v>
      </c>
      <c r="N234" t="str">
        <f>IF(AND(C234&gt;=$T$4,C234&lt;=$U$4),"During","Before")</f>
        <v>Before</v>
      </c>
      <c r="O234" s="30">
        <f ca="1">AVERAGEIF($N$2:$N$301,"Before",M234)</f>
        <v>0.25131850863814553</v>
      </c>
      <c r="P234" s="30">
        <f ca="1">AVERAGEIF($N$2:$N$301,"During",M234)</f>
        <v>0.24509964451691532</v>
      </c>
      <c r="Q234" s="30">
        <f ca="1">(P234-O234)/O234</f>
        <v>-2.4744950759612704E-2</v>
      </c>
    </row>
    <row r="235" spans="1:17" ht="14.25" customHeight="1">
      <c r="A235" s="3" t="s">
        <v>411</v>
      </c>
      <c r="B235" s="3" t="s">
        <v>20</v>
      </c>
      <c r="C235" s="29" t="s">
        <v>396</v>
      </c>
      <c r="D235" s="3" t="s">
        <v>16</v>
      </c>
      <c r="E235" s="3" t="s">
        <v>32</v>
      </c>
      <c r="F235" s="12">
        <v>17728</v>
      </c>
      <c r="G235" s="12">
        <v>1487</v>
      </c>
      <c r="H235" s="12">
        <v>210</v>
      </c>
      <c r="I235" s="12">
        <v>2469</v>
      </c>
      <c r="J235" s="13">
        <v>30565</v>
      </c>
      <c r="K235" s="12">
        <v>117576</v>
      </c>
      <c r="L235" s="3" t="s">
        <v>33</v>
      </c>
      <c r="M235" s="30">
        <f>(F235 + G235 + H235 ) / K235</f>
        <v>0.16521228822208614</v>
      </c>
      <c r="N235" s="8" t="str">
        <f>IF(AND(C235&gt;=$T$5,C235&lt;=$U$5),"During","Before")</f>
        <v>During</v>
      </c>
      <c r="O235" s="30">
        <f ca="1">AVERAGEIF($N$2:$N$301,"Before",M235)</f>
        <v>0.25177067378538831</v>
      </c>
      <c r="P235" s="30">
        <f ca="1">AVERAGEIF($N$2:$N$301,"During",M235)</f>
        <v>0.25050910787200498</v>
      </c>
      <c r="Q235" s="30">
        <f ca="1">(P235-O235)/O235</f>
        <v>-5.0107738697903479E-3</v>
      </c>
    </row>
    <row r="236" spans="1:17" ht="14.25" customHeight="1">
      <c r="A236" s="3" t="s">
        <v>412</v>
      </c>
      <c r="B236" s="3" t="s">
        <v>44</v>
      </c>
      <c r="C236" s="29">
        <v>45921</v>
      </c>
      <c r="D236" s="3" t="s">
        <v>22</v>
      </c>
      <c r="E236" s="3" t="s">
        <v>103</v>
      </c>
      <c r="F236" s="12">
        <v>23103</v>
      </c>
      <c r="G236" s="12">
        <v>1380</v>
      </c>
      <c r="H236" s="12">
        <v>191</v>
      </c>
      <c r="I236" s="12">
        <v>1547</v>
      </c>
      <c r="J236" s="13">
        <v>77798</v>
      </c>
      <c r="K236" s="12">
        <v>148856</v>
      </c>
      <c r="L236" s="3" t="s">
        <v>37</v>
      </c>
      <c r="M236" s="30">
        <f>(F236 + G236 + H236 ) / K236</f>
        <v>0.16575751061428495</v>
      </c>
      <c r="N236" t="str">
        <f>IF(AND(C236&gt;=$T$6,C236&lt;=$U$6),"During","Before")</f>
        <v>During</v>
      </c>
      <c r="O236" s="30">
        <f ca="1">AVERAGEIF($N$2:$N$301,"Before",M236)</f>
        <v>0.25261284324405142</v>
      </c>
      <c r="P236" s="30">
        <f ca="1">AVERAGEIF($N$2:$N$301,"During",M236)</f>
        <v>0.25393254410496274</v>
      </c>
      <c r="Q236" s="30">
        <f ca="1">(P236-O236)/O236</f>
        <v>5.2242033459729805E-3</v>
      </c>
    </row>
    <row r="237" spans="1:17" ht="14.25" customHeight="1">
      <c r="A237" s="3" t="s">
        <v>413</v>
      </c>
      <c r="B237" s="3" t="s">
        <v>14</v>
      </c>
      <c r="C237" s="29">
        <v>45921</v>
      </c>
      <c r="D237" s="3" t="s">
        <v>31</v>
      </c>
      <c r="E237" s="3" t="s">
        <v>27</v>
      </c>
      <c r="F237" s="12">
        <v>19680</v>
      </c>
      <c r="G237" s="12">
        <v>999</v>
      </c>
      <c r="H237" s="12">
        <v>838</v>
      </c>
      <c r="I237" s="12">
        <v>891</v>
      </c>
      <c r="J237" s="13">
        <v>29576</v>
      </c>
      <c r="K237" s="12">
        <v>129152</v>
      </c>
      <c r="L237" s="3" t="s">
        <v>37</v>
      </c>
      <c r="M237" s="30">
        <f>(F237 + G237 + H237 ) / K237</f>
        <v>0.16660214321110009</v>
      </c>
      <c r="N237" t="str">
        <f>IF(AND(C237&gt;=$T$6,C237&lt;=$U$6),"During","Before")</f>
        <v>During</v>
      </c>
      <c r="O237" s="30">
        <f ca="1">AVERAGEIF($N$2:$N$301,"Before",M237)</f>
        <v>0.25335302464668669</v>
      </c>
      <c r="P237" s="30">
        <f ca="1">AVERAGEIF($N$2:$N$301,"During",M237)</f>
        <v>0.25790135396247077</v>
      </c>
      <c r="Q237" s="30">
        <f ca="1">(P237-O237)/O237</f>
        <v>1.7952536079357859E-2</v>
      </c>
    </row>
    <row r="238" spans="1:17" ht="14.25" customHeight="1">
      <c r="A238" s="3" t="s">
        <v>414</v>
      </c>
      <c r="B238" s="3" t="s">
        <v>62</v>
      </c>
      <c r="C238" s="29" t="s">
        <v>415</v>
      </c>
      <c r="D238" s="3" t="s">
        <v>16</v>
      </c>
      <c r="E238" s="3" t="s">
        <v>36</v>
      </c>
      <c r="F238" s="12">
        <v>14394</v>
      </c>
      <c r="G238" s="12">
        <v>1202</v>
      </c>
      <c r="H238" s="12">
        <v>188</v>
      </c>
      <c r="I238" s="12">
        <v>1259</v>
      </c>
      <c r="J238" s="13">
        <v>21925</v>
      </c>
      <c r="K238" s="12">
        <v>94061</v>
      </c>
      <c r="L238" s="3" t="s">
        <v>24</v>
      </c>
      <c r="M238" s="30">
        <f>(F238 + G238 + H238 ) / K238</f>
        <v>0.1678059982351878</v>
      </c>
      <c r="N238" t="str">
        <f>IF(AND(C238&gt;=$T$3,C238&lt;=$U$3),"During","Before")</f>
        <v>Before</v>
      </c>
      <c r="O238" s="30">
        <f ca="1">AVERAGEIF($N$2:$N$301,"Before",M238)</f>
        <v>0.25883442268492829</v>
      </c>
      <c r="P238" s="30">
        <f ca="1">AVERAGEIF($N$2:$N$301,"During",M238)</f>
        <v>0.23979090984652227</v>
      </c>
      <c r="Q238" s="30">
        <f ca="1">(P238-O238)/O238</f>
        <v>-7.3574112132632166E-2</v>
      </c>
    </row>
    <row r="239" spans="1:17" ht="14.25" customHeight="1">
      <c r="A239" s="3" t="s">
        <v>416</v>
      </c>
      <c r="B239" s="3" t="s">
        <v>14</v>
      </c>
      <c r="C239" s="29" t="s">
        <v>417</v>
      </c>
      <c r="D239" s="3" t="s">
        <v>35</v>
      </c>
      <c r="E239" s="3" t="s">
        <v>40</v>
      </c>
      <c r="F239" s="12">
        <v>22527</v>
      </c>
      <c r="G239" s="12">
        <v>865</v>
      </c>
      <c r="H239" s="12">
        <v>646</v>
      </c>
      <c r="I239" s="12">
        <v>992</v>
      </c>
      <c r="J239" s="13">
        <v>18654</v>
      </c>
      <c r="K239" s="12">
        <v>141376</v>
      </c>
      <c r="L239" s="3" t="s">
        <v>18</v>
      </c>
      <c r="M239" s="30">
        <f>(F239 + G239 + H239 ) / K239</f>
        <v>0.17002885921231325</v>
      </c>
      <c r="N239" t="str">
        <f>IF(AND(C239&gt;=$T$2,C239&lt;=$U$2),"During","Before")</f>
        <v>Before</v>
      </c>
      <c r="O239" s="30">
        <f ca="1">AVERAGEIF($N$2:$N$301,"Before",M239)</f>
        <v>0.25936684249765474</v>
      </c>
      <c r="P239" s="30">
        <f ca="1">AVERAGEIF($N$2:$N$301,"During",M239)</f>
        <v>0.24554932749997355</v>
      </c>
      <c r="Q239" s="30">
        <f ca="1">(P239-O239)/O239</f>
        <v>-5.3274022479593293E-2</v>
      </c>
    </row>
    <row r="240" spans="1:17" ht="14.25" customHeight="1">
      <c r="A240" s="3" t="s">
        <v>418</v>
      </c>
      <c r="B240" s="3" t="s">
        <v>14</v>
      </c>
      <c r="C240" s="29" t="s">
        <v>419</v>
      </c>
      <c r="D240" s="3" t="s">
        <v>22</v>
      </c>
      <c r="E240" s="3" t="s">
        <v>23</v>
      </c>
      <c r="F240" s="12">
        <v>8233</v>
      </c>
      <c r="G240" s="12">
        <v>436</v>
      </c>
      <c r="H240" s="12">
        <v>269</v>
      </c>
      <c r="I240" s="12">
        <v>2037</v>
      </c>
      <c r="J240" s="13">
        <v>8875</v>
      </c>
      <c r="K240" s="12">
        <v>52289</v>
      </c>
      <c r="L240" s="3" t="s">
        <v>33</v>
      </c>
      <c r="M240" s="30">
        <f>(F240 + G240 + H240 ) / K240</f>
        <v>0.17093461339861157</v>
      </c>
      <c r="N240" s="8" t="str">
        <f>IF(AND(C240&gt;=$T$5,C240&lt;=$U$5),"During","Before")</f>
        <v>Before</v>
      </c>
      <c r="O240" s="30">
        <f ca="1">AVERAGEIF($N$2:$N$301,"Before",M240)</f>
        <v>0.26028484835303589</v>
      </c>
      <c r="P240" s="30">
        <f ca="1">AVERAGEIF($N$2:$N$301,"During",M240)</f>
        <v>0.24941475337823749</v>
      </c>
      <c r="Q240" s="30">
        <f ca="1">(P240-O240)/O240</f>
        <v>-4.176230404335643E-2</v>
      </c>
    </row>
    <row r="241" spans="1:17" ht="14.25" customHeight="1">
      <c r="A241" s="3" t="s">
        <v>420</v>
      </c>
      <c r="B241" s="3" t="s">
        <v>14</v>
      </c>
      <c r="C241" s="29" t="s">
        <v>421</v>
      </c>
      <c r="D241" s="3" t="s">
        <v>22</v>
      </c>
      <c r="E241" s="3" t="s">
        <v>40</v>
      </c>
      <c r="F241" s="12">
        <v>22562</v>
      </c>
      <c r="G241" s="12">
        <v>778</v>
      </c>
      <c r="H241" s="12">
        <v>907</v>
      </c>
      <c r="I241" s="12">
        <v>1354</v>
      </c>
      <c r="J241" s="13">
        <v>34475</v>
      </c>
      <c r="K241" s="12">
        <v>141459</v>
      </c>
      <c r="L241" s="3" t="s">
        <v>24</v>
      </c>
      <c r="M241" s="30">
        <f>(F241 + G241 + H241 ) / K241</f>
        <v>0.17140655596321194</v>
      </c>
      <c r="N241" t="str">
        <f>IF(AND(C241&gt;=$T$3,C241&lt;=$U$3),"During","Before")</f>
        <v>Before</v>
      </c>
      <c r="O241" s="30">
        <f ca="1">AVERAGEIF($N$2:$N$301,"Before",M241)</f>
        <v>0.26093990367656783</v>
      </c>
      <c r="P241" s="30">
        <f ca="1">AVERAGEIF($N$2:$N$301,"During",M241)</f>
        <v>0.25455997781258533</v>
      </c>
      <c r="Q241" s="30">
        <f ca="1">(P241-O241)/O241</f>
        <v>-2.4449790063118725E-2</v>
      </c>
    </row>
    <row r="242" spans="1:17" ht="14.25" customHeight="1">
      <c r="A242" s="3" t="s">
        <v>422</v>
      </c>
      <c r="B242" s="3" t="s">
        <v>14</v>
      </c>
      <c r="C242" s="29">
        <v>45924</v>
      </c>
      <c r="D242" s="3" t="s">
        <v>35</v>
      </c>
      <c r="E242" s="3" t="s">
        <v>32</v>
      </c>
      <c r="F242" s="12">
        <v>12209</v>
      </c>
      <c r="G242" s="12">
        <v>222</v>
      </c>
      <c r="H242" s="12">
        <v>479</v>
      </c>
      <c r="I242" s="12">
        <v>2748</v>
      </c>
      <c r="J242" s="13">
        <v>24615</v>
      </c>
      <c r="K242" s="12">
        <v>74707</v>
      </c>
      <c r="L242" s="3" t="s">
        <v>37</v>
      </c>
      <c r="M242" s="30">
        <f>(F242 + G242 + H242 ) / K242</f>
        <v>0.17280843829895459</v>
      </c>
      <c r="N242" t="str">
        <f>IF(AND(C242&gt;=$T$6,C242&lt;=$U$6),"During","Before")</f>
        <v>During</v>
      </c>
      <c r="O242" s="30">
        <f ca="1">AVERAGEIF($N$2:$N$301,"Before",M242)</f>
        <v>0.26151911029561764</v>
      </c>
      <c r="P242" s="30">
        <f ca="1">AVERAGEIF($N$2:$N$301,"During",M242)</f>
        <v>0.26011927084712333</v>
      </c>
      <c r="Q242" s="30">
        <f ca="1">(P242-O242)/O242</f>
        <v>-5.352723351314371E-3</v>
      </c>
    </row>
    <row r="243" spans="1:17" ht="14.25" customHeight="1">
      <c r="A243" s="3" t="s">
        <v>423</v>
      </c>
      <c r="B243" s="3" t="s">
        <v>44</v>
      </c>
      <c r="C243" s="29" t="s">
        <v>424</v>
      </c>
      <c r="D243" s="3" t="s">
        <v>16</v>
      </c>
      <c r="E243" s="3" t="s">
        <v>103</v>
      </c>
      <c r="F243" s="12">
        <v>8090</v>
      </c>
      <c r="G243" s="12">
        <v>570</v>
      </c>
      <c r="H243" s="12">
        <v>399</v>
      </c>
      <c r="I243" s="12">
        <v>1862</v>
      </c>
      <c r="J243" s="13">
        <v>34088</v>
      </c>
      <c r="K243" s="12">
        <v>52115</v>
      </c>
      <c r="L243" s="3" t="s">
        <v>33</v>
      </c>
      <c r="M243" s="30">
        <f>(F243 + G243 + H243 ) / K243</f>
        <v>0.17382711311522595</v>
      </c>
      <c r="N243" s="8" t="str">
        <f>IF(AND(C243&gt;=$T$5,C243&lt;=$U$5),"During","Before")</f>
        <v>Before</v>
      </c>
      <c r="O243" s="30">
        <f ca="1">AVERAGEIF($N$2:$N$301,"Before",M243)</f>
        <v>0.26156087892299335</v>
      </c>
      <c r="P243" s="30">
        <f ca="1">AVERAGEIF($N$2:$N$301,"During",M243)</f>
        <v>0.2680016142909985</v>
      </c>
      <c r="Q243" s="30">
        <f ca="1">(P243-O243)/O243</f>
        <v>2.4624230483264994E-2</v>
      </c>
    </row>
    <row r="244" spans="1:17" ht="14.25" customHeight="1">
      <c r="A244" s="3" t="s">
        <v>425</v>
      </c>
      <c r="B244" s="3" t="s">
        <v>62</v>
      </c>
      <c r="C244" s="29" t="s">
        <v>189</v>
      </c>
      <c r="D244" s="3" t="s">
        <v>16</v>
      </c>
      <c r="E244" s="3" t="s">
        <v>17</v>
      </c>
      <c r="F244" s="12">
        <v>8938</v>
      </c>
      <c r="G244" s="12">
        <v>800</v>
      </c>
      <c r="H244" s="12">
        <v>842</v>
      </c>
      <c r="I244" s="12">
        <v>2072</v>
      </c>
      <c r="J244" s="13">
        <v>31736</v>
      </c>
      <c r="K244" s="12">
        <v>59975</v>
      </c>
      <c r="L244" s="3" t="s">
        <v>24</v>
      </c>
      <c r="M244" s="30">
        <f>(F244 + G244 + H244 ) / K244</f>
        <v>0.17640683618174238</v>
      </c>
      <c r="N244" t="str">
        <f>IF(AND(C244&gt;=$T$3,C244&lt;=$U$3),"During","Before")</f>
        <v>Before</v>
      </c>
      <c r="O244" s="30">
        <f ca="1">AVERAGEIF($N$2:$N$301,"Before",M244)</f>
        <v>0.26181381499834239</v>
      </c>
      <c r="P244" s="30">
        <f ca="1">AVERAGEIF($N$2:$N$301,"During",M244)</f>
        <v>0.2748966843152133</v>
      </c>
      <c r="Q244" s="30">
        <f ca="1">(P244-O244)/O244</f>
        <v>4.9970125972740385E-2</v>
      </c>
    </row>
    <row r="245" spans="1:17" ht="14.25" customHeight="1">
      <c r="A245" s="3" t="s">
        <v>426</v>
      </c>
      <c r="B245" s="3" t="s">
        <v>20</v>
      </c>
      <c r="C245" s="29" t="s">
        <v>427</v>
      </c>
      <c r="D245" s="3" t="s">
        <v>35</v>
      </c>
      <c r="E245" s="3" t="s">
        <v>17</v>
      </c>
      <c r="F245" s="12">
        <v>23969</v>
      </c>
      <c r="G245" s="12">
        <v>1433</v>
      </c>
      <c r="H245" s="12">
        <v>372</v>
      </c>
      <c r="I245" s="12">
        <v>1092</v>
      </c>
      <c r="J245" s="13">
        <v>32147</v>
      </c>
      <c r="K245" s="12">
        <v>145823</v>
      </c>
      <c r="L245" s="3" t="s">
        <v>28</v>
      </c>
      <c r="M245" s="30">
        <f>(F245 + G245 + H245 ) / K245</f>
        <v>0.17674852389540743</v>
      </c>
      <c r="N245" t="str">
        <f>IF(AND(C245&gt;=$T$4,C245&lt;=$U$4),"During","Before")</f>
        <v>Before</v>
      </c>
      <c r="O245" s="30">
        <f ca="1">AVERAGEIF($N$2:$N$301,"Before",M245)</f>
        <v>0.26681597319765199</v>
      </c>
      <c r="P245" s="30">
        <f ca="1">AVERAGEIF($N$2:$N$301,"During",M245)</f>
        <v>0.26123552559180541</v>
      </c>
      <c r="Q245" s="30">
        <f ca="1">(P245-O245)/O245</f>
        <v>-2.0914968241847718E-2</v>
      </c>
    </row>
    <row r="246" spans="1:17" ht="14.25" customHeight="1">
      <c r="A246" s="3" t="s">
        <v>428</v>
      </c>
      <c r="B246" s="3" t="s">
        <v>20</v>
      </c>
      <c r="C246" s="29" t="s">
        <v>96</v>
      </c>
      <c r="D246" s="3" t="s">
        <v>22</v>
      </c>
      <c r="E246" s="3" t="s">
        <v>67</v>
      </c>
      <c r="F246" s="12">
        <v>20977</v>
      </c>
      <c r="G246" s="12">
        <v>1402</v>
      </c>
      <c r="H246" s="12">
        <v>301</v>
      </c>
      <c r="I246" s="12">
        <v>1284</v>
      </c>
      <c r="J246" s="13">
        <v>24620</v>
      </c>
      <c r="K246" s="12">
        <v>128009</v>
      </c>
      <c r="L246" s="3" t="s">
        <v>33</v>
      </c>
      <c r="M246" s="30">
        <f>(F246 + G246 + H246 ) / K246</f>
        <v>0.17717504237983267</v>
      </c>
      <c r="N246" s="8" t="str">
        <f>IF(AND(C246&gt;=$T$5,C246&lt;=$U$5),"During","Before")</f>
        <v>Before</v>
      </c>
      <c r="O246" s="30">
        <f ca="1">AVERAGEIF($N$2:$N$301,"Before",M246)</f>
        <v>0.26785426505029752</v>
      </c>
      <c r="P246" s="30">
        <f ca="1">AVERAGEIF($N$2:$N$301,"During",M246)</f>
        <v>0.26546612799986041</v>
      </c>
      <c r="Q246" s="30">
        <f ca="1">(P246-O246)/O246</f>
        <v>-8.9158074447262137E-3</v>
      </c>
    </row>
    <row r="247" spans="1:17" ht="14.25" customHeight="1">
      <c r="A247" s="3" t="s">
        <v>429</v>
      </c>
      <c r="B247" s="3" t="s">
        <v>44</v>
      </c>
      <c r="C247" s="29" t="s">
        <v>259</v>
      </c>
      <c r="D247" s="3" t="s">
        <v>22</v>
      </c>
      <c r="E247" s="3" t="s">
        <v>88</v>
      </c>
      <c r="F247" s="12">
        <v>12554</v>
      </c>
      <c r="G247" s="12">
        <v>381</v>
      </c>
      <c r="H247" s="12">
        <v>211</v>
      </c>
      <c r="I247" s="12">
        <v>2286</v>
      </c>
      <c r="J247" s="13">
        <v>50567</v>
      </c>
      <c r="K247" s="12">
        <v>72779</v>
      </c>
      <c r="L247" s="3" t="s">
        <v>33</v>
      </c>
      <c r="M247" s="30">
        <f>(F247 + G247 + H247 ) / K247</f>
        <v>0.18062902760411656</v>
      </c>
      <c r="N247" s="8" t="str">
        <f>IF(AND(C247&gt;=$T$5,C247&lt;=$U$5),"During","Before")</f>
        <v>Before</v>
      </c>
      <c r="O247" s="30">
        <f ca="1">AVERAGEIF($N$2:$N$301,"Before",M247)</f>
        <v>0.27382957798148111</v>
      </c>
      <c r="P247" s="30">
        <f ca="1">AVERAGEIF($N$2:$N$301,"During",M247)</f>
        <v>0.24473576030936975</v>
      </c>
      <c r="Q247" s="30">
        <f ca="1">(P247-O247)/O247</f>
        <v>-0.10624790019608091</v>
      </c>
    </row>
    <row r="248" spans="1:17" ht="14.25" customHeight="1">
      <c r="A248" s="3" t="s">
        <v>430</v>
      </c>
      <c r="B248" s="3" t="s">
        <v>20</v>
      </c>
      <c r="C248" s="29">
        <v>45934</v>
      </c>
      <c r="D248" s="3" t="s">
        <v>22</v>
      </c>
      <c r="E248" s="3" t="s">
        <v>27</v>
      </c>
      <c r="F248" s="12">
        <v>12488</v>
      </c>
      <c r="G248" s="12">
        <v>1403</v>
      </c>
      <c r="H248" s="12">
        <v>247</v>
      </c>
      <c r="I248" s="12">
        <v>1350</v>
      </c>
      <c r="J248" s="13">
        <v>28370</v>
      </c>
      <c r="K248" s="12">
        <v>76487</v>
      </c>
      <c r="L248" s="3" t="s">
        <v>37</v>
      </c>
      <c r="M248" s="30">
        <f>(F248 + G248 + H248 ) / K248</f>
        <v>0.18484186855282597</v>
      </c>
      <c r="N248" t="str">
        <f>IF(AND(C248&gt;=$T$6,C248&lt;=$U$6),"During","Before")</f>
        <v>Before</v>
      </c>
      <c r="O248" s="30">
        <f ca="1">AVERAGEIF($N$2:$N$301,"Before",M248)</f>
        <v>0.27432770147958246</v>
      </c>
      <c r="P248" s="30">
        <f ca="1">AVERAGEIF($N$2:$N$301,"During",M248)</f>
        <v>0.25260075952745897</v>
      </c>
      <c r="Q248" s="30">
        <f ca="1">(P248-O248)/O248</f>
        <v>-7.9200685293317252E-2</v>
      </c>
    </row>
    <row r="249" spans="1:17" ht="14.25" customHeight="1">
      <c r="A249" s="3" t="s">
        <v>431</v>
      </c>
      <c r="B249" s="3" t="s">
        <v>14</v>
      </c>
      <c r="C249" s="29" t="s">
        <v>367</v>
      </c>
      <c r="D249" s="3" t="s">
        <v>35</v>
      </c>
      <c r="E249" s="3" t="s">
        <v>67</v>
      </c>
      <c r="F249" s="12">
        <v>24984</v>
      </c>
      <c r="G249" s="12">
        <v>753</v>
      </c>
      <c r="H249" s="12">
        <v>461</v>
      </c>
      <c r="I249" s="12">
        <v>2710</v>
      </c>
      <c r="J249" s="13">
        <v>20792</v>
      </c>
      <c r="K249" s="12">
        <v>141520</v>
      </c>
      <c r="L249" s="3" t="s">
        <v>28</v>
      </c>
      <c r="M249" s="30">
        <f>(F249 + G249 + H249 ) / K249</f>
        <v>0.18511871113623515</v>
      </c>
      <c r="N249" t="str">
        <f>IF(AND(C249&gt;=$T$4,C249&lt;=$U$4),"During","Before")</f>
        <v>Before</v>
      </c>
      <c r="O249" s="30">
        <f ca="1">AVERAGEIF($N$2:$N$301,"Before",M249)</f>
        <v>0.27506742936892697</v>
      </c>
      <c r="P249" s="30">
        <f ca="1">AVERAGEIF($N$2:$N$301,"During",M249)</f>
        <v>0.25892718239363666</v>
      </c>
      <c r="Q249" s="30">
        <f ca="1">(P249-O249)/O249</f>
        <v>-5.8677419614238058E-2</v>
      </c>
    </row>
    <row r="250" spans="1:17" ht="14.25" customHeight="1">
      <c r="A250" s="3" t="s">
        <v>432</v>
      </c>
      <c r="B250" s="3" t="s">
        <v>62</v>
      </c>
      <c r="C250" s="29" t="s">
        <v>433</v>
      </c>
      <c r="D250" s="3" t="s">
        <v>16</v>
      </c>
      <c r="E250" s="3" t="s">
        <v>27</v>
      </c>
      <c r="F250" s="12">
        <v>6854</v>
      </c>
      <c r="G250" s="12">
        <v>417</v>
      </c>
      <c r="H250" s="12">
        <v>467</v>
      </c>
      <c r="I250" s="12">
        <v>1003</v>
      </c>
      <c r="J250" s="13">
        <v>61333</v>
      </c>
      <c r="K250" s="12">
        <v>40281</v>
      </c>
      <c r="L250" s="3" t="s">
        <v>33</v>
      </c>
      <c r="M250" s="30">
        <f>(F250 + G250 + H250 ) / K250</f>
        <v>0.19210049402944315</v>
      </c>
      <c r="N250" s="8" t="str">
        <f>IF(AND(C250&gt;=$T$5,C250&lt;=$U$5),"During","Before")</f>
        <v>Before</v>
      </c>
      <c r="O250" s="30">
        <f ca="1">AVERAGEIF($N$2:$N$301,"Before",M250)</f>
        <v>0.27673879722201655</v>
      </c>
      <c r="P250" s="30">
        <f ca="1">AVERAGEIF($N$2:$N$301,"During",M250)</f>
        <v>0.26093606023250765</v>
      </c>
      <c r="Q250" s="30">
        <f ca="1">(P250-O250)/O250</f>
        <v>-5.7103438867774636E-2</v>
      </c>
    </row>
    <row r="251" spans="1:17" ht="14.25" customHeight="1">
      <c r="A251" s="3" t="s">
        <v>434</v>
      </c>
      <c r="B251" s="3" t="s">
        <v>14</v>
      </c>
      <c r="C251" s="29" t="s">
        <v>120</v>
      </c>
      <c r="D251" s="3" t="s">
        <v>31</v>
      </c>
      <c r="E251" s="3" t="s">
        <v>23</v>
      </c>
      <c r="F251" s="12">
        <v>11911</v>
      </c>
      <c r="G251" s="12">
        <v>1360</v>
      </c>
      <c r="H251" s="12">
        <v>778</v>
      </c>
      <c r="I251" s="12">
        <v>1168</v>
      </c>
      <c r="J251" s="13">
        <v>16483</v>
      </c>
      <c r="K251" s="12">
        <v>72556</v>
      </c>
      <c r="L251" s="3" t="s">
        <v>28</v>
      </c>
      <c r="M251" s="30">
        <f>(F251 + G251 + H251 ) / K251</f>
        <v>0.19362974805667346</v>
      </c>
      <c r="N251" t="str">
        <f>IF(AND(C251&gt;=$T$4,C251&lt;=$U$4),"During","Before")</f>
        <v>Before</v>
      </c>
      <c r="O251" s="30">
        <f ca="1">AVERAGEIF($N$2:$N$301,"Before",M251)</f>
        <v>0.28325291936204999</v>
      </c>
      <c r="P251" s="30">
        <f ca="1">AVERAGEIF($N$2:$N$301,"During",M251)</f>
        <v>0.23452709950521075</v>
      </c>
      <c r="Q251" s="30">
        <f ca="1">(P251-O251)/O251</f>
        <v>-0.17202230418871189</v>
      </c>
    </row>
    <row r="252" spans="1:17" ht="14.25" customHeight="1">
      <c r="A252" s="3" t="s">
        <v>435</v>
      </c>
      <c r="B252" s="3" t="s">
        <v>14</v>
      </c>
      <c r="C252" s="29" t="s">
        <v>102</v>
      </c>
      <c r="D252" s="3" t="s">
        <v>31</v>
      </c>
      <c r="E252" s="3" t="s">
        <v>46</v>
      </c>
      <c r="F252" s="12">
        <v>13637</v>
      </c>
      <c r="G252" s="12">
        <v>1135</v>
      </c>
      <c r="H252" s="12">
        <v>540</v>
      </c>
      <c r="I252" s="12">
        <v>1288</v>
      </c>
      <c r="J252" s="13">
        <v>45183</v>
      </c>
      <c r="K252" s="12">
        <v>79062</v>
      </c>
      <c r="L252" s="3" t="s">
        <v>18</v>
      </c>
      <c r="M252" s="30">
        <f>(F252 + G252 + H252 ) / K252</f>
        <v>0.19367079001290127</v>
      </c>
      <c r="N252" t="str">
        <f>IF(AND(C252&gt;=$T$2,C252&lt;=$U$2),"During","Before")</f>
        <v>Before</v>
      </c>
      <c r="O252" s="30">
        <f ca="1">AVERAGEIF($N$2:$N$301,"Before",M252)</f>
        <v>0.28467264707777801</v>
      </c>
      <c r="P252" s="30">
        <f ca="1">AVERAGEIF($N$2:$N$301,"During",M252)</f>
        <v>0.23827642541081098</v>
      </c>
      <c r="Q252" s="30">
        <f ca="1">(P252-O252)/O252</f>
        <v>-0.16298096126633019</v>
      </c>
    </row>
    <row r="253" spans="1:17" ht="14.25" customHeight="1">
      <c r="A253" s="3" t="s">
        <v>436</v>
      </c>
      <c r="B253" s="3" t="s">
        <v>44</v>
      </c>
      <c r="C253" s="29" t="s">
        <v>437</v>
      </c>
      <c r="D253" s="3" t="s">
        <v>22</v>
      </c>
      <c r="E253" s="3" t="s">
        <v>36</v>
      </c>
      <c r="F253" s="12">
        <v>10427</v>
      </c>
      <c r="G253" s="12">
        <v>1014</v>
      </c>
      <c r="H253" s="12">
        <v>166</v>
      </c>
      <c r="I253" s="12">
        <v>1649</v>
      </c>
      <c r="J253" s="13">
        <v>15145</v>
      </c>
      <c r="K253" s="12">
        <v>59816</v>
      </c>
      <c r="L253" s="3" t="s">
        <v>28</v>
      </c>
      <c r="M253" s="30">
        <f>(F253 + G253 + H253 ) / K253</f>
        <v>0.19404507155276179</v>
      </c>
      <c r="N253" t="str">
        <f>IF(AND(C253&gt;=$T$4,C253&lt;=$U$4),"During","Before")</f>
        <v>Before</v>
      </c>
      <c r="O253" s="30">
        <f ca="1">AVERAGEIF($N$2:$N$301,"Before",M253)</f>
        <v>0.28639138375889867</v>
      </c>
      <c r="P253" s="30">
        <f ca="1">AVERAGEIF($N$2:$N$301,"During",M253)</f>
        <v>0.24084313205317703</v>
      </c>
      <c r="Q253" s="30">
        <f ca="1">(P253-O253)/O253</f>
        <v>-0.15904197643064172</v>
      </c>
    </row>
    <row r="254" spans="1:17" ht="14.25" customHeight="1">
      <c r="A254" s="3" t="s">
        <v>438</v>
      </c>
      <c r="B254" s="3" t="s">
        <v>14</v>
      </c>
      <c r="C254" s="29">
        <v>45926</v>
      </c>
      <c r="D254" s="3" t="s">
        <v>22</v>
      </c>
      <c r="E254" s="3" t="s">
        <v>67</v>
      </c>
      <c r="F254" s="12">
        <v>21216</v>
      </c>
      <c r="G254" s="12">
        <v>226</v>
      </c>
      <c r="H254" s="12">
        <v>187</v>
      </c>
      <c r="I254" s="12">
        <v>1573</v>
      </c>
      <c r="J254" s="13">
        <v>62688</v>
      </c>
      <c r="K254" s="12">
        <v>111031</v>
      </c>
      <c r="L254" s="3" t="s">
        <v>37</v>
      </c>
      <c r="M254" s="30">
        <f>(F254 + G254 + H254 ) / K254</f>
        <v>0.19480145184678152</v>
      </c>
      <c r="N254" t="str">
        <f>IF(AND(C254&gt;=$T$6,C254&lt;=$U$6),"During","Before")</f>
        <v>During</v>
      </c>
      <c r="O254" s="30">
        <f ca="1">AVERAGEIF($N$2:$N$301,"Before",M254)</f>
        <v>0.28833459577093795</v>
      </c>
      <c r="P254" s="30">
        <f ca="1">AVERAGEIF($N$2:$N$301,"During",M254)</f>
        <v>0.24267036101874773</v>
      </c>
      <c r="Q254" s="30">
        <f ca="1">(P254-O254)/O254</f>
        <v>-0.15837237508768226</v>
      </c>
    </row>
    <row r="255" spans="1:17" ht="14.25" customHeight="1">
      <c r="A255" s="3" t="s">
        <v>439</v>
      </c>
      <c r="B255" s="3" t="s">
        <v>14</v>
      </c>
      <c r="C255" s="29" t="s">
        <v>440</v>
      </c>
      <c r="D255" s="3" t="s">
        <v>22</v>
      </c>
      <c r="E255" s="3" t="s">
        <v>103</v>
      </c>
      <c r="F255" s="12">
        <v>15568</v>
      </c>
      <c r="G255" s="12">
        <v>1166</v>
      </c>
      <c r="H255" s="12">
        <v>546</v>
      </c>
      <c r="I255" s="12">
        <v>826</v>
      </c>
      <c r="J255" s="13">
        <v>21836</v>
      </c>
      <c r="K255" s="12">
        <v>87055</v>
      </c>
      <c r="L255" s="3" t="s">
        <v>33</v>
      </c>
      <c r="M255" s="30">
        <f>(F255 + G255 + H255 ) / K255</f>
        <v>0.19849520418126471</v>
      </c>
      <c r="N255" s="8" t="str">
        <f>IF(AND(C255&gt;=$T$5,C255&lt;=$U$5),"During","Before")</f>
        <v>Before</v>
      </c>
      <c r="O255" s="30">
        <f ca="1">AVERAGEIF($N$2:$N$301,"Before",M255)</f>
        <v>0.29045986814467595</v>
      </c>
      <c r="P255" s="30">
        <f ca="1">AVERAGEIF($N$2:$N$301,"During",M255)</f>
        <v>0.24400130118729485</v>
      </c>
      <c r="Q255" s="30">
        <f ca="1">(P255-O255)/O255</f>
        <v>-0.15994831662679274</v>
      </c>
    </row>
    <row r="256" spans="1:17" ht="14.25" customHeight="1">
      <c r="A256" s="3" t="s">
        <v>441</v>
      </c>
      <c r="B256" s="3" t="s">
        <v>62</v>
      </c>
      <c r="C256" s="29" t="s">
        <v>442</v>
      </c>
      <c r="D256" s="3" t="s">
        <v>16</v>
      </c>
      <c r="E256" s="3" t="s">
        <v>67</v>
      </c>
      <c r="F256" s="12">
        <v>22645</v>
      </c>
      <c r="G256" s="12">
        <v>545</v>
      </c>
      <c r="H256" s="12">
        <v>972</v>
      </c>
      <c r="I256" s="12">
        <v>321</v>
      </c>
      <c r="J256" s="13">
        <v>8396</v>
      </c>
      <c r="K256" s="12">
        <v>121537</v>
      </c>
      <c r="L256" s="3" t="s">
        <v>18</v>
      </c>
      <c r="M256" s="30">
        <f>(F256 + G256 + H256 ) / K256</f>
        <v>0.19880365649966678</v>
      </c>
      <c r="N256" t="str">
        <f>IF(AND(C256&gt;=$T$2,C256&lt;=$U$2),"During","Before")</f>
        <v>Before</v>
      </c>
      <c r="O256" s="30">
        <f ca="1">AVERAGEIF($N$2:$N$301,"Before",M256)</f>
        <v>0.29200074747032839</v>
      </c>
      <c r="P256" s="30">
        <f ca="1">AVERAGEIF($N$2:$N$301,"During",M256)</f>
        <v>0.24817770738587194</v>
      </c>
      <c r="Q256" s="30">
        <f ca="1">(P256-O256)/O256</f>
        <v>-0.15007852022334128</v>
      </c>
    </row>
    <row r="257" spans="1:17" ht="14.25" customHeight="1">
      <c r="A257" s="3" t="s">
        <v>443</v>
      </c>
      <c r="B257" s="3" t="s">
        <v>20</v>
      </c>
      <c r="C257" s="29" t="s">
        <v>444</v>
      </c>
      <c r="D257" s="3" t="s">
        <v>22</v>
      </c>
      <c r="E257" s="3" t="s">
        <v>36</v>
      </c>
      <c r="F257" s="12">
        <v>15234</v>
      </c>
      <c r="G257" s="12">
        <v>1276</v>
      </c>
      <c r="H257" s="12">
        <v>670</v>
      </c>
      <c r="I257" s="12">
        <v>1860</v>
      </c>
      <c r="J257" s="13">
        <v>60397</v>
      </c>
      <c r="K257" s="12">
        <v>86413</v>
      </c>
      <c r="L257" s="3" t="s">
        <v>18</v>
      </c>
      <c r="M257" s="30">
        <f>(F257 + G257 + H257 ) / K257</f>
        <v>0.19881267864788862</v>
      </c>
      <c r="N257" t="str">
        <f>IF(AND(C257&gt;=$T$2,C257&lt;=$U$2),"During","Before")</f>
        <v>Before</v>
      </c>
      <c r="O257" s="30">
        <f ca="1">AVERAGEIF($N$2:$N$301,"Before",M257)</f>
        <v>0.29362367645857351</v>
      </c>
      <c r="P257" s="30">
        <f ca="1">AVERAGEIF($N$2:$N$301,"During",M257)</f>
        <v>0.25232129718657109</v>
      </c>
      <c r="Q257" s="30">
        <f ca="1">(P257-O257)/O257</f>
        <v>-0.14066433528165992</v>
      </c>
    </row>
    <row r="258" spans="1:17" ht="14.25" customHeight="1">
      <c r="A258" s="3" t="s">
        <v>445</v>
      </c>
      <c r="B258" s="3" t="s">
        <v>62</v>
      </c>
      <c r="C258" s="29" t="s">
        <v>446</v>
      </c>
      <c r="D258" s="3" t="s">
        <v>16</v>
      </c>
      <c r="E258" s="3" t="s">
        <v>67</v>
      </c>
      <c r="F258" s="12">
        <v>19447</v>
      </c>
      <c r="G258" s="12">
        <v>1014</v>
      </c>
      <c r="H258" s="12">
        <v>256</v>
      </c>
      <c r="I258" s="12">
        <v>2354</v>
      </c>
      <c r="J258" s="13">
        <v>5472</v>
      </c>
      <c r="K258" s="12">
        <v>104106</v>
      </c>
      <c r="L258" s="3" t="s">
        <v>33</v>
      </c>
      <c r="M258" s="30">
        <f>(F258 + G258 + H258 ) / K258</f>
        <v>0.19899909707413599</v>
      </c>
      <c r="N258" s="8" t="str">
        <f>IF(AND(C258&gt;=$T$5,C258&lt;=$U$5),"During","Before")</f>
        <v>Before</v>
      </c>
      <c r="O258" s="30">
        <f ca="1">AVERAGEIF($N$2:$N$301,"Before",M258)</f>
        <v>0.29558704843624989</v>
      </c>
      <c r="P258" s="30">
        <f ca="1">AVERAGEIF($N$2:$N$301,"During",M258)</f>
        <v>0.25533749801336275</v>
      </c>
      <c r="Q258" s="30">
        <f ca="1">(P258-O258)/O258</f>
        <v>-0.13616818001945669</v>
      </c>
    </row>
    <row r="259" spans="1:17" ht="14.25" customHeight="1">
      <c r="A259" s="3" t="s">
        <v>447</v>
      </c>
      <c r="B259" s="3" t="s">
        <v>20</v>
      </c>
      <c r="C259" s="29" t="s">
        <v>448</v>
      </c>
      <c r="D259" s="3" t="s">
        <v>16</v>
      </c>
      <c r="E259" s="3" t="s">
        <v>17</v>
      </c>
      <c r="F259" s="12">
        <v>12916</v>
      </c>
      <c r="G259" s="12">
        <v>1262</v>
      </c>
      <c r="H259" s="12">
        <v>772</v>
      </c>
      <c r="I259" s="12">
        <v>856</v>
      </c>
      <c r="J259" s="13">
        <v>11496</v>
      </c>
      <c r="K259" s="12">
        <v>75046</v>
      </c>
      <c r="L259" s="3" t="s">
        <v>28</v>
      </c>
      <c r="M259" s="30">
        <f>(F259 + G259 + H259 ) / K259</f>
        <v>0.19921115049436347</v>
      </c>
      <c r="N259" t="str">
        <f>IF(AND(C259&gt;=$T$4,C259&lt;=$U$4),"During","Before")</f>
        <v>Before</v>
      </c>
      <c r="O259" s="30">
        <f ca="1">AVERAGEIF($N$2:$N$301,"Before",M259)</f>
        <v>0.2974838685505633</v>
      </c>
      <c r="P259" s="30">
        <f ca="1">AVERAGEIF($N$2:$N$301,"During",M259)</f>
        <v>0.25911240393350576</v>
      </c>
      <c r="Q259" s="30">
        <f ca="1">(P259-O259)/O259</f>
        <v>-0.12898670709109575</v>
      </c>
    </row>
    <row r="260" spans="1:17" ht="14.25" customHeight="1">
      <c r="A260" s="3" t="s">
        <v>449</v>
      </c>
      <c r="B260" s="3" t="s">
        <v>62</v>
      </c>
      <c r="C260" s="29" t="s">
        <v>354</v>
      </c>
      <c r="D260" s="3" t="s">
        <v>16</v>
      </c>
      <c r="E260" s="3" t="s">
        <v>23</v>
      </c>
      <c r="F260" s="12">
        <v>21198</v>
      </c>
      <c r="G260" s="12">
        <v>1484</v>
      </c>
      <c r="H260" s="12">
        <v>174</v>
      </c>
      <c r="I260" s="12">
        <v>1293</v>
      </c>
      <c r="J260" s="13">
        <v>16330</v>
      </c>
      <c r="K260" s="12">
        <v>111635</v>
      </c>
      <c r="L260" s="3" t="s">
        <v>24</v>
      </c>
      <c r="M260" s="30">
        <f>(F260 + G260 + H260 ) / K260</f>
        <v>0.20473865723115511</v>
      </c>
      <c r="N260" t="str">
        <f>IF(AND(C260&gt;=$T$3,C260&lt;=$U$3),"During","Before")</f>
        <v>During</v>
      </c>
      <c r="O260" s="30">
        <f ca="1">AVERAGEIF($N$2:$N$301,"Before",M260)</f>
        <v>0.29940237956869492</v>
      </c>
      <c r="P260" s="30">
        <f ca="1">AVERAGEIF($N$2:$N$301,"During",M260)</f>
        <v>0.26324282186347137</v>
      </c>
      <c r="Q260" s="30">
        <f ca="1">(P260-O260)/O260</f>
        <v>-0.12077244595488294</v>
      </c>
    </row>
    <row r="261" spans="1:17" ht="14.25" customHeight="1">
      <c r="A261" s="3" t="s">
        <v>450</v>
      </c>
      <c r="B261" s="3" t="s">
        <v>62</v>
      </c>
      <c r="C261" s="29">
        <v>45915</v>
      </c>
      <c r="D261" s="3" t="s">
        <v>31</v>
      </c>
      <c r="E261" s="3" t="s">
        <v>32</v>
      </c>
      <c r="F261" s="12">
        <v>18389</v>
      </c>
      <c r="G261" s="12">
        <v>670</v>
      </c>
      <c r="H261" s="12">
        <v>655</v>
      </c>
      <c r="I261" s="12">
        <v>321</v>
      </c>
      <c r="J261" s="13">
        <v>21869</v>
      </c>
      <c r="K261" s="12">
        <v>96088</v>
      </c>
      <c r="L261" s="3" t="s">
        <v>37</v>
      </c>
      <c r="M261" s="30">
        <f>(F261 + G261 + H261 ) / K261</f>
        <v>0.2051660977437349</v>
      </c>
      <c r="N261" t="str">
        <f>IF(AND(C261&gt;=$T$6,C261&lt;=$U$6),"During","Before")</f>
        <v>During</v>
      </c>
      <c r="O261" s="30">
        <f ca="1">AVERAGEIF($N$2:$N$301,"Before",M261)</f>
        <v>0.30126023635045884</v>
      </c>
      <c r="P261" s="30">
        <f ca="1">AVERAGEIF($N$2:$N$301,"During",M261)</f>
        <v>0.26741212793088776</v>
      </c>
      <c r="Q261" s="30">
        <f ca="1">(P261-O261)/O261</f>
        <v>-0.11235504834496401</v>
      </c>
    </row>
    <row r="262" spans="1:17" ht="14.25" customHeight="1">
      <c r="A262" s="3" t="s">
        <v>451</v>
      </c>
      <c r="B262" s="3" t="s">
        <v>62</v>
      </c>
      <c r="C262" s="29" t="s">
        <v>224</v>
      </c>
      <c r="D262" s="3" t="s">
        <v>31</v>
      </c>
      <c r="E262" s="3" t="s">
        <v>32</v>
      </c>
      <c r="F262" s="12">
        <v>21729</v>
      </c>
      <c r="G262" s="12">
        <v>1209</v>
      </c>
      <c r="H262" s="12">
        <v>897</v>
      </c>
      <c r="I262" s="12">
        <v>1624</v>
      </c>
      <c r="J262" s="13">
        <v>38771</v>
      </c>
      <c r="K262" s="12">
        <v>113297</v>
      </c>
      <c r="L262" s="3" t="s">
        <v>24</v>
      </c>
      <c r="M262" s="30">
        <f>(F262 + G262 + H262 ) / K262</f>
        <v>0.21037626768581694</v>
      </c>
      <c r="N262" t="str">
        <f>IF(AND(C262&gt;=$T$3,C262&lt;=$U$3),"During","Before")</f>
        <v>During</v>
      </c>
      <c r="O262" s="30">
        <f ca="1">AVERAGEIF($N$2:$N$301,"Before",M262)</f>
        <v>0.30297977279124749</v>
      </c>
      <c r="P262" s="30">
        <f ca="1">AVERAGEIF($N$2:$N$301,"During",M262)</f>
        <v>0.27254574949357396</v>
      </c>
      <c r="Q262" s="30">
        <f ca="1">(P262-O262)/O262</f>
        <v>-0.10044902673632446</v>
      </c>
    </row>
    <row r="263" spans="1:17" ht="14.25" customHeight="1">
      <c r="A263" s="3" t="s">
        <v>452</v>
      </c>
      <c r="B263" s="3" t="s">
        <v>62</v>
      </c>
      <c r="C263" s="29" t="s">
        <v>312</v>
      </c>
      <c r="D263" s="3" t="s">
        <v>35</v>
      </c>
      <c r="E263" s="3" t="s">
        <v>27</v>
      </c>
      <c r="F263" s="12">
        <v>7870</v>
      </c>
      <c r="G263" s="12">
        <v>968</v>
      </c>
      <c r="H263" s="12">
        <v>626</v>
      </c>
      <c r="I263" s="12">
        <v>465</v>
      </c>
      <c r="J263" s="13">
        <v>27184</v>
      </c>
      <c r="K263" s="12">
        <v>44114</v>
      </c>
      <c r="L263" s="3" t="s">
        <v>18</v>
      </c>
      <c r="M263" s="30">
        <f>(F263 + G263 + H263 ) / K263</f>
        <v>0.2145350682323072</v>
      </c>
      <c r="N263" t="str">
        <f>IF(AND(C263&gt;=$T$2,C263&lt;=$U$2),"During","Before")</f>
        <v>Before</v>
      </c>
      <c r="O263" s="30">
        <f ca="1">AVERAGEIF($N$2:$N$301,"Before",M263)</f>
        <v>0.3041564137974036</v>
      </c>
      <c r="P263" s="30">
        <f ca="1">AVERAGEIF($N$2:$N$301,"During",M263)</f>
        <v>0.27956170373289785</v>
      </c>
      <c r="Q263" s="30">
        <f ca="1">(P263-O263)/O263</f>
        <v>-8.086204646300213E-2</v>
      </c>
    </row>
    <row r="264" spans="1:17" ht="14.25" customHeight="1">
      <c r="A264" s="3" t="s">
        <v>453</v>
      </c>
      <c r="B264" s="3" t="s">
        <v>14</v>
      </c>
      <c r="C264" s="29" t="s">
        <v>454</v>
      </c>
      <c r="D264" s="3" t="s">
        <v>35</v>
      </c>
      <c r="E264" s="3" t="s">
        <v>17</v>
      </c>
      <c r="F264" s="12">
        <v>17444</v>
      </c>
      <c r="G264" s="12">
        <v>1402</v>
      </c>
      <c r="H264" s="12">
        <v>218</v>
      </c>
      <c r="I264" s="12">
        <v>725</v>
      </c>
      <c r="J264" s="13">
        <v>8710</v>
      </c>
      <c r="K264" s="12">
        <v>85893</v>
      </c>
      <c r="L264" s="3" t="s">
        <v>18</v>
      </c>
      <c r="M264" s="30">
        <f>(F264 + G264 + H264 ) / K264</f>
        <v>0.22195056640238436</v>
      </c>
      <c r="N264" t="str">
        <f>IF(AND(C264&gt;=$T$2,C264&lt;=$U$2),"During","Before")</f>
        <v>Before</v>
      </c>
      <c r="O264" s="30">
        <f ca="1">AVERAGEIF($N$2:$N$301,"Before",M264)</f>
        <v>0.30479007322531376</v>
      </c>
      <c r="P264" s="30">
        <f ca="1">AVERAGEIF($N$2:$N$301,"During",M264)</f>
        <v>0.28838814907387167</v>
      </c>
      <c r="Q264" s="30">
        <f ca="1">(P264-O264)/O264</f>
        <v>-5.3813839728687932E-2</v>
      </c>
    </row>
    <row r="265" spans="1:17" ht="14.25" customHeight="1">
      <c r="A265" s="3" t="s">
        <v>455</v>
      </c>
      <c r="B265" s="3" t="s">
        <v>62</v>
      </c>
      <c r="C265" s="29" t="s">
        <v>203</v>
      </c>
      <c r="D265" s="3" t="s">
        <v>16</v>
      </c>
      <c r="E265" s="3" t="s">
        <v>40</v>
      </c>
      <c r="F265" s="12">
        <v>15013</v>
      </c>
      <c r="G265" s="12">
        <v>1286</v>
      </c>
      <c r="H265" s="12">
        <v>599</v>
      </c>
      <c r="I265" s="12">
        <v>2001</v>
      </c>
      <c r="J265" s="13">
        <v>67839</v>
      </c>
      <c r="K265" s="12">
        <v>76059</v>
      </c>
      <c r="L265" s="3" t="s">
        <v>33</v>
      </c>
      <c r="M265" s="30">
        <f>(F265 + G265 + H265 ) / K265</f>
        <v>0.22216963147030594</v>
      </c>
      <c r="N265" s="8" t="str">
        <f>IF(AND(C265&gt;=$T$5,C265&lt;=$U$5),"During","Before")</f>
        <v>Before</v>
      </c>
      <c r="O265" s="30">
        <f ca="1">AVERAGEIF($N$2:$N$301,"Before",M265)</f>
        <v>0.3054501621460407</v>
      </c>
      <c r="P265" s="30">
        <f ca="1">AVERAGEIF($N$2:$N$301,"During",M265)</f>
        <v>0.29635026508910256</v>
      </c>
      <c r="Q265" s="30">
        <f ca="1">(P265-O265)/O265</f>
        <v>-2.9791757165895154E-2</v>
      </c>
    </row>
    <row r="266" spans="1:17" ht="14.25" customHeight="1">
      <c r="A266" s="3" t="s">
        <v>456</v>
      </c>
      <c r="B266" s="3" t="s">
        <v>14</v>
      </c>
      <c r="C266" s="29" t="s">
        <v>457</v>
      </c>
      <c r="D266" s="3" t="s">
        <v>16</v>
      </c>
      <c r="E266" s="3" t="s">
        <v>27</v>
      </c>
      <c r="F266" s="12">
        <v>20290</v>
      </c>
      <c r="G266" s="12">
        <v>619</v>
      </c>
      <c r="H266" s="12">
        <v>927</v>
      </c>
      <c r="I266" s="12">
        <v>1186</v>
      </c>
      <c r="J266" s="13">
        <v>8924</v>
      </c>
      <c r="K266" s="12">
        <v>96503</v>
      </c>
      <c r="L266" s="3" t="s">
        <v>18</v>
      </c>
      <c r="M266" s="30">
        <f>(F266 + G266 + H266 ) / K266</f>
        <v>0.22627275835984373</v>
      </c>
      <c r="N266" t="str">
        <f>IF(AND(C266&gt;=$T$2,C266&lt;=$U$2),"During","Before")</f>
        <v>Before</v>
      </c>
      <c r="O266" s="30">
        <f ca="1">AVERAGEIF($N$2:$N$301,"Before",M266)</f>
        <v>0.30696051730027607</v>
      </c>
      <c r="P266" s="30">
        <f ca="1">AVERAGEIF($N$2:$N$301,"During",M266)</f>
        <v>0.30147408838374595</v>
      </c>
      <c r="Q266" s="30">
        <f ca="1">(P266-O266)/O266</f>
        <v>-1.7873402627749557E-2</v>
      </c>
    </row>
    <row r="267" spans="1:17" ht="14.25" customHeight="1">
      <c r="A267" s="3" t="s">
        <v>458</v>
      </c>
      <c r="B267" s="3" t="s">
        <v>62</v>
      </c>
      <c r="C267" s="29" t="s">
        <v>459</v>
      </c>
      <c r="D267" s="3" t="s">
        <v>16</v>
      </c>
      <c r="E267" s="3" t="s">
        <v>67</v>
      </c>
      <c r="F267" s="12">
        <v>21856</v>
      </c>
      <c r="G267" s="12">
        <v>1203</v>
      </c>
      <c r="H267" s="12">
        <v>634</v>
      </c>
      <c r="I267" s="12">
        <v>2807</v>
      </c>
      <c r="J267" s="13">
        <v>3647</v>
      </c>
      <c r="K267" s="12">
        <v>104178</v>
      </c>
      <c r="L267" s="3" t="s">
        <v>24</v>
      </c>
      <c r="M267" s="30">
        <f>(F267 + G267 + H267 ) / K267</f>
        <v>0.22742805582752595</v>
      </c>
      <c r="N267" t="str">
        <f>IF(AND(C267&gt;=$T$3,C267&lt;=$U$3),"During","Before")</f>
        <v>Before</v>
      </c>
      <c r="O267" s="30">
        <f ca="1">AVERAGEIF($N$2:$N$301,"Before",M267)</f>
        <v>0.3067829905907215</v>
      </c>
      <c r="P267" s="30">
        <f ca="1">AVERAGEIF($N$2:$N$301,"During",M267)</f>
        <v>0.3121592108960467</v>
      </c>
      <c r="Q267" s="30">
        <f ca="1">(P267-O267)/O267</f>
        <v>1.7524505824045505E-2</v>
      </c>
    </row>
    <row r="268" spans="1:17" ht="14.25" customHeight="1">
      <c r="A268" s="3" t="s">
        <v>460</v>
      </c>
      <c r="B268" s="3" t="s">
        <v>20</v>
      </c>
      <c r="C268" s="29">
        <v>45919</v>
      </c>
      <c r="D268" s="3" t="s">
        <v>35</v>
      </c>
      <c r="E268" s="3" t="s">
        <v>46</v>
      </c>
      <c r="F268" s="12">
        <v>22128</v>
      </c>
      <c r="G268" s="12">
        <v>1004</v>
      </c>
      <c r="H268" s="12">
        <v>690</v>
      </c>
      <c r="I268" s="12">
        <v>2048</v>
      </c>
      <c r="J268" s="13">
        <v>19443</v>
      </c>
      <c r="K268" s="12">
        <v>103646</v>
      </c>
      <c r="L268" s="3" t="s">
        <v>37</v>
      </c>
      <c r="M268" s="30">
        <f>(F268 + G268 + H268 ) / K268</f>
        <v>0.22984003241803833</v>
      </c>
      <c r="N268" t="str">
        <f>IF(AND(C268&gt;=$T$6,C268&lt;=$U$6),"During","Before")</f>
        <v>During</v>
      </c>
      <c r="O268" s="30">
        <f ca="1">AVERAGEIF($N$2:$N$301,"Before",M268)</f>
        <v>0.30644213134675291</v>
      </c>
      <c r="P268" s="30">
        <f ca="1">AVERAGEIF($N$2:$N$301,"During",M268)</f>
        <v>0.32318637028434394</v>
      </c>
      <c r="Q268" s="30">
        <f ca="1">(P268-O268)/O268</f>
        <v>5.4640786056419165E-2</v>
      </c>
    </row>
    <row r="269" spans="1:17" ht="14.25" customHeight="1">
      <c r="A269" s="3" t="s">
        <v>461</v>
      </c>
      <c r="B269" s="3" t="s">
        <v>20</v>
      </c>
      <c r="C269" s="29" t="s">
        <v>462</v>
      </c>
      <c r="D269" s="3" t="s">
        <v>16</v>
      </c>
      <c r="E269" s="3" t="s">
        <v>51</v>
      </c>
      <c r="F269" s="12">
        <v>16489</v>
      </c>
      <c r="G269" s="12">
        <v>395</v>
      </c>
      <c r="H269" s="12">
        <v>350</v>
      </c>
      <c r="I269" s="12">
        <v>2364</v>
      </c>
      <c r="J269" s="13">
        <v>43239</v>
      </c>
      <c r="K269" s="12">
        <v>73397</v>
      </c>
      <c r="L269" s="3" t="s">
        <v>18</v>
      </c>
      <c r="M269" s="30">
        <f>(F269 + G269 + H269 ) / K269</f>
        <v>0.23480523727127811</v>
      </c>
      <c r="N269" t="str">
        <f>IF(AND(C269&gt;=$T$2,C269&lt;=$U$2),"During","Before")</f>
        <v>Before</v>
      </c>
      <c r="O269" s="30">
        <f ca="1">AVERAGEIF($N$2:$N$301,"Before",M269)</f>
        <v>0.30758989004779808</v>
      </c>
      <c r="P269" s="30">
        <f ca="1">AVERAGEIF($N$2:$N$301,"During",M269)</f>
        <v>0.32917488670966727</v>
      </c>
      <c r="Q269" s="30">
        <f ca="1">(P269-O269)/O269</f>
        <v>7.0174597281188217E-2</v>
      </c>
    </row>
    <row r="270" spans="1:17" ht="14.25" customHeight="1">
      <c r="A270" s="3" t="s">
        <v>463</v>
      </c>
      <c r="B270" s="3" t="s">
        <v>44</v>
      </c>
      <c r="C270" s="29" t="s">
        <v>417</v>
      </c>
      <c r="D270" s="3" t="s">
        <v>22</v>
      </c>
      <c r="E270" s="3" t="s">
        <v>60</v>
      </c>
      <c r="F270" s="12">
        <v>24890</v>
      </c>
      <c r="G270" s="12">
        <v>217</v>
      </c>
      <c r="H270" s="12">
        <v>178</v>
      </c>
      <c r="I270" s="12">
        <v>906</v>
      </c>
      <c r="J270" s="13">
        <v>54826</v>
      </c>
      <c r="K270" s="12">
        <v>107203</v>
      </c>
      <c r="L270" s="3" t="s">
        <v>28</v>
      </c>
      <c r="M270" s="30">
        <f>(F270 + G270 + H270 ) / K270</f>
        <v>0.23586093672751696</v>
      </c>
      <c r="N270" t="str">
        <f>IF(AND(C270&gt;=$T$4,C270&lt;=$U$4),"During","Before")</f>
        <v>Before</v>
      </c>
      <c r="O270" s="30">
        <f ca="1">AVERAGEIF($N$2:$N$301,"Before",M270)</f>
        <v>0.31706664264787926</v>
      </c>
      <c r="P270" s="30">
        <f ca="1">AVERAGEIF($N$2:$N$301,"During",M270)</f>
        <v>0.30881072020057587</v>
      </c>
      <c r="Q270" s="30">
        <f ca="1">(P270-O270)/O270</f>
        <v>-2.60384453512887E-2</v>
      </c>
    </row>
    <row r="271" spans="1:17" ht="14.25" customHeight="1">
      <c r="A271" s="3" t="s">
        <v>464</v>
      </c>
      <c r="B271" s="3" t="s">
        <v>44</v>
      </c>
      <c r="C271" s="29" t="s">
        <v>15</v>
      </c>
      <c r="D271" s="3" t="s">
        <v>16</v>
      </c>
      <c r="E271" s="3" t="s">
        <v>32</v>
      </c>
      <c r="F271" s="12">
        <v>18644</v>
      </c>
      <c r="G271" s="12">
        <v>1369</v>
      </c>
      <c r="H271" s="12">
        <v>887</v>
      </c>
      <c r="I271" s="12">
        <v>1256</v>
      </c>
      <c r="J271" s="13">
        <v>43415</v>
      </c>
      <c r="K271" s="12">
        <v>88368</v>
      </c>
      <c r="L271" s="3" t="s">
        <v>28</v>
      </c>
      <c r="M271" s="30">
        <f>(F271 + G271 + H271 ) / K271</f>
        <v>0.23651095419156257</v>
      </c>
      <c r="N271" t="str">
        <f>IF(AND(C271&gt;=$T$4,C271&lt;=$U$4),"During","Before")</f>
        <v>Before</v>
      </c>
      <c r="O271" s="30">
        <f ca="1">AVERAGEIF($N$2:$N$301,"Before",M271)</f>
        <v>0.31883325760154813</v>
      </c>
      <c r="P271" s="30">
        <f ca="1">AVERAGEIF($N$2:$N$301,"During",M271)</f>
        <v>0.31435456977662002</v>
      </c>
      <c r="Q271" s="30">
        <f ca="1">(P271-O271)/O271</f>
        <v>-1.404711622187547E-2</v>
      </c>
    </row>
    <row r="272" spans="1:17" ht="14.25" customHeight="1">
      <c r="A272" s="3" t="s">
        <v>465</v>
      </c>
      <c r="B272" s="3" t="s">
        <v>14</v>
      </c>
      <c r="C272" s="29">
        <v>45905</v>
      </c>
      <c r="D272" s="3" t="s">
        <v>31</v>
      </c>
      <c r="E272" s="3" t="s">
        <v>88</v>
      </c>
      <c r="F272" s="12">
        <v>14677</v>
      </c>
      <c r="G272" s="12">
        <v>533</v>
      </c>
      <c r="H272" s="12">
        <v>759</v>
      </c>
      <c r="I272" s="12">
        <v>753</v>
      </c>
      <c r="J272" s="13">
        <v>23275</v>
      </c>
      <c r="K272" s="12">
        <v>66958</v>
      </c>
      <c r="L272" s="3" t="s">
        <v>37</v>
      </c>
      <c r="M272" s="30">
        <f>(F272 + G272 + H272 ) / K272</f>
        <v>0.23849278652289496</v>
      </c>
      <c r="N272" t="str">
        <f>IF(AND(C272&gt;=$T$6,C272&lt;=$U$6),"During","Before")</f>
        <v>During</v>
      </c>
      <c r="O272" s="30">
        <f ca="1">AVERAGEIF($N$2:$N$301,"Before",M272)</f>
        <v>0.32040985651172826</v>
      </c>
      <c r="P272" s="30">
        <f ca="1">AVERAGEIF($N$2:$N$301,"During",M272)</f>
        <v>0.32093464527316889</v>
      </c>
      <c r="Q272" s="30">
        <f ca="1">(P272-O272)/O272</f>
        <v>1.6378670967053153E-3</v>
      </c>
    </row>
    <row r="273" spans="1:17" ht="14.25" customHeight="1">
      <c r="A273" s="3" t="s">
        <v>466</v>
      </c>
      <c r="B273" s="3" t="s">
        <v>20</v>
      </c>
      <c r="C273" s="29" t="s">
        <v>467</v>
      </c>
      <c r="D273" s="3" t="s">
        <v>16</v>
      </c>
      <c r="E273" s="3" t="s">
        <v>46</v>
      </c>
      <c r="F273" s="12">
        <v>23164</v>
      </c>
      <c r="G273" s="12">
        <v>1122</v>
      </c>
      <c r="H273" s="12">
        <v>900</v>
      </c>
      <c r="I273" s="12">
        <v>888</v>
      </c>
      <c r="J273" s="13">
        <v>36938</v>
      </c>
      <c r="K273" s="12">
        <v>104674</v>
      </c>
      <c r="L273" s="3" t="s">
        <v>33</v>
      </c>
      <c r="M273" s="30">
        <f>(F273 + G273 + H273 ) / K273</f>
        <v>0.24061371496264594</v>
      </c>
      <c r="N273" s="8" t="str">
        <f>IF(AND(C273&gt;=$T$5,C273&lt;=$U$5),"During","Before")</f>
        <v>Before</v>
      </c>
      <c r="O273" s="30">
        <f ca="1">AVERAGEIF($N$2:$N$301,"Before",M273)</f>
        <v>0.32068877270979129</v>
      </c>
      <c r="P273" s="30">
        <f ca="1">AVERAGEIF($N$2:$N$301,"During",M273)</f>
        <v>0.33176049007766117</v>
      </c>
      <c r="Q273" s="30">
        <f ca="1">(P273-O273)/O273</f>
        <v>3.4524805076008323E-2</v>
      </c>
    </row>
    <row r="274" spans="1:17" ht="14.25" customHeight="1">
      <c r="A274" s="3" t="s">
        <v>468</v>
      </c>
      <c r="B274" s="3" t="s">
        <v>44</v>
      </c>
      <c r="C274" s="29" t="s">
        <v>57</v>
      </c>
      <c r="D274" s="3" t="s">
        <v>35</v>
      </c>
      <c r="E274" s="3" t="s">
        <v>103</v>
      </c>
      <c r="F274" s="12">
        <v>22590</v>
      </c>
      <c r="G274" s="12">
        <v>1462</v>
      </c>
      <c r="H274" s="12">
        <v>966</v>
      </c>
      <c r="I274" s="12">
        <v>2463</v>
      </c>
      <c r="J274" s="13">
        <v>29689</v>
      </c>
      <c r="K274" s="12">
        <v>103449</v>
      </c>
      <c r="L274" s="3" t="s">
        <v>28</v>
      </c>
      <c r="M274" s="30">
        <f>(F274 + G274 + H274 ) / K274</f>
        <v>0.24183897379385011</v>
      </c>
      <c r="N274" t="str">
        <f>IF(AND(C274&gt;=$T$4,C274&lt;=$U$4),"During","Before")</f>
        <v>Before</v>
      </c>
      <c r="O274" s="30">
        <f ca="1">AVERAGEIF($N$2:$N$301,"Before",M274)</f>
        <v>0.32179261423759919</v>
      </c>
      <c r="P274" s="30">
        <f ca="1">AVERAGEIF($N$2:$N$301,"During",M274)</f>
        <v>0.33988825945811552</v>
      </c>
      <c r="Q274" s="30">
        <f ca="1">(P274-O274)/O274</f>
        <v>5.6233873681001259E-2</v>
      </c>
    </row>
    <row r="275" spans="1:17" ht="14.25" customHeight="1">
      <c r="A275" s="3" t="s">
        <v>469</v>
      </c>
      <c r="B275" s="3" t="s">
        <v>62</v>
      </c>
      <c r="C275" s="29" t="s">
        <v>124</v>
      </c>
      <c r="D275" s="3" t="s">
        <v>16</v>
      </c>
      <c r="E275" s="3" t="s">
        <v>88</v>
      </c>
      <c r="F275" s="12">
        <v>17254</v>
      </c>
      <c r="G275" s="12">
        <v>246</v>
      </c>
      <c r="H275" s="12">
        <v>952</v>
      </c>
      <c r="I275" s="12">
        <v>871</v>
      </c>
      <c r="J275" s="13">
        <v>14957</v>
      </c>
      <c r="K275" s="12">
        <v>75946</v>
      </c>
      <c r="L275" s="3" t="s">
        <v>18</v>
      </c>
      <c r="M275" s="30">
        <f>(F275 + G275 + H275 ) / K275</f>
        <v>0.24296210465330631</v>
      </c>
      <c r="N275" t="str">
        <f>IF(AND(C275&gt;=$T$2,C275&lt;=$U$2),"During","Before")</f>
        <v>Before</v>
      </c>
      <c r="O275" s="30">
        <f ca="1">AVERAGEIF($N$2:$N$301,"Before",M275)</f>
        <v>0.32267295544959879</v>
      </c>
      <c r="P275" s="30">
        <f ca="1">AVERAGEIF($N$2:$N$301,"During",M275)</f>
        <v>0.34879494748722367</v>
      </c>
      <c r="Q275" s="30">
        <f ca="1">(P275-O275)/O275</f>
        <v>8.0955009077930351E-2</v>
      </c>
    </row>
    <row r="276" spans="1:17" ht="14.25" customHeight="1">
      <c r="A276" s="3" t="s">
        <v>470</v>
      </c>
      <c r="B276" s="3" t="s">
        <v>44</v>
      </c>
      <c r="C276" s="29">
        <v>45913</v>
      </c>
      <c r="D276" s="3" t="s">
        <v>22</v>
      </c>
      <c r="E276" s="3" t="s">
        <v>40</v>
      </c>
      <c r="F276" s="12">
        <v>15046</v>
      </c>
      <c r="G276" s="12">
        <v>281</v>
      </c>
      <c r="H276" s="12">
        <v>515</v>
      </c>
      <c r="I276" s="12">
        <v>550</v>
      </c>
      <c r="J276" s="13">
        <v>22583</v>
      </c>
      <c r="K276" s="12">
        <v>64596</v>
      </c>
      <c r="L276" s="3" t="s">
        <v>37</v>
      </c>
      <c r="M276" s="30">
        <f>(F276 + G276 + H276 ) / K276</f>
        <v>0.24524738373893121</v>
      </c>
      <c r="N276" t="str">
        <f>IF(AND(C276&gt;=$T$6,C276&lt;=$U$6),"During","Before")</f>
        <v>During</v>
      </c>
      <c r="O276" s="30">
        <f ca="1">AVERAGEIF($N$2:$N$301,"Before",M276)</f>
        <v>0.32210999282332586</v>
      </c>
      <c r="P276" s="30">
        <f ca="1">AVERAGEIF($N$2:$N$301,"During",M276)</f>
        <v>0.36171025330086337</v>
      </c>
      <c r="Q276" s="30">
        <f ca="1">(P276-O276)/O276</f>
        <v>0.12294017993803086</v>
      </c>
    </row>
    <row r="277" spans="1:17" ht="14.25" customHeight="1">
      <c r="A277" s="3" t="s">
        <v>471</v>
      </c>
      <c r="B277" s="3" t="s">
        <v>62</v>
      </c>
      <c r="C277" s="29">
        <v>45908</v>
      </c>
      <c r="D277" s="3" t="s">
        <v>16</v>
      </c>
      <c r="E277" s="3" t="s">
        <v>40</v>
      </c>
      <c r="F277" s="12">
        <v>22309</v>
      </c>
      <c r="G277" s="12">
        <v>773</v>
      </c>
      <c r="H277" s="12">
        <v>854</v>
      </c>
      <c r="I277" s="12">
        <v>2387</v>
      </c>
      <c r="J277" s="13">
        <v>72396</v>
      </c>
      <c r="K277" s="12">
        <v>97056</v>
      </c>
      <c r="L277" s="3" t="s">
        <v>37</v>
      </c>
      <c r="M277" s="30">
        <f>(F277 + G277 + H277 ) / K277</f>
        <v>0.24662050774810418</v>
      </c>
      <c r="N277" t="str">
        <f>IF(AND(C277&gt;=$T$6,C277&lt;=$U$6),"During","Before")</f>
        <v>During</v>
      </c>
      <c r="O277" s="30">
        <f ca="1">AVERAGEIF($N$2:$N$301,"Before",M277)</f>
        <v>0.3221111905806161</v>
      </c>
      <c r="P277" s="30">
        <f ca="1">AVERAGEIF($N$2:$N$301,"During",M277)</f>
        <v>0.37268754607988758</v>
      </c>
      <c r="Q277" s="30">
        <f ca="1">(P277-O277)/O277</f>
        <v>0.15701520772409649</v>
      </c>
    </row>
    <row r="278" spans="1:17" ht="14.25" customHeight="1">
      <c r="A278" s="3" t="s">
        <v>472</v>
      </c>
      <c r="B278" s="3" t="s">
        <v>20</v>
      </c>
      <c r="C278" s="29" t="s">
        <v>473</v>
      </c>
      <c r="D278" s="3" t="s">
        <v>22</v>
      </c>
      <c r="E278" s="3" t="s">
        <v>36</v>
      </c>
      <c r="F278" s="12">
        <v>14199</v>
      </c>
      <c r="G278" s="12">
        <v>1206</v>
      </c>
      <c r="H278" s="12">
        <v>954</v>
      </c>
      <c r="I278" s="12">
        <v>2009</v>
      </c>
      <c r="J278" s="13">
        <v>8</v>
      </c>
      <c r="K278" s="12">
        <v>65537</v>
      </c>
      <c r="L278" s="3" t="s">
        <v>28</v>
      </c>
      <c r="M278" s="30">
        <f>(F278 + G278 + H278 ) / K278</f>
        <v>0.24961472145505592</v>
      </c>
      <c r="N278" t="str">
        <f>IF(AND(C278&gt;=$T$4,C278&lt;=$U$4),"During","Before")</f>
        <v>Before</v>
      </c>
      <c r="O278" s="30">
        <f ca="1">AVERAGEIF($N$2:$N$301,"Before",M278)</f>
        <v>0.32133723479052234</v>
      </c>
      <c r="P278" s="30">
        <f ca="1">AVERAGEIF($N$2:$N$301,"During",M278)</f>
        <v>0.38535153626047425</v>
      </c>
      <c r="Q278" s="30">
        <f ca="1">(P278-O278)/O278</f>
        <v>0.19921221240259446</v>
      </c>
    </row>
    <row r="279" spans="1:17" ht="14.25" customHeight="1">
      <c r="A279" s="3" t="s">
        <v>474</v>
      </c>
      <c r="B279" s="3" t="s">
        <v>14</v>
      </c>
      <c r="C279" s="29" t="s">
        <v>475</v>
      </c>
      <c r="D279" s="3" t="s">
        <v>22</v>
      </c>
      <c r="E279" s="3" t="s">
        <v>40</v>
      </c>
      <c r="F279" s="12">
        <v>16124</v>
      </c>
      <c r="G279" s="12">
        <v>863</v>
      </c>
      <c r="H279" s="12">
        <v>337</v>
      </c>
      <c r="I279" s="12">
        <v>819</v>
      </c>
      <c r="J279" s="13">
        <v>85788</v>
      </c>
      <c r="K279" s="12">
        <v>68625</v>
      </c>
      <c r="L279" s="3" t="s">
        <v>24</v>
      </c>
      <c r="M279" s="30">
        <f>(F279 + G279 + H279 ) / K279</f>
        <v>0.25244444444444447</v>
      </c>
      <c r="N279" t="str">
        <f>IF(AND(C279&gt;=$T$3,C279&lt;=$U$3),"During","Before")</f>
        <v>Before</v>
      </c>
      <c r="O279" s="30">
        <f ca="1">AVERAGEIF($N$2:$N$301,"Before",M279)</f>
        <v>0.32791152290039499</v>
      </c>
      <c r="P279" s="30">
        <f ca="1">AVERAGEIF($N$2:$N$301,"During",M279)</f>
        <v>0.38934718908340482</v>
      </c>
      <c r="Q279" s="30">
        <f ca="1">(P279-O279)/O279</f>
        <v>0.18735439864878206</v>
      </c>
    </row>
    <row r="280" spans="1:17" ht="14.25" customHeight="1">
      <c r="A280" s="3" t="s">
        <v>476</v>
      </c>
      <c r="B280" s="3" t="s">
        <v>14</v>
      </c>
      <c r="C280" s="29" t="s">
        <v>467</v>
      </c>
      <c r="D280" s="3" t="s">
        <v>31</v>
      </c>
      <c r="E280" s="3" t="s">
        <v>103</v>
      </c>
      <c r="F280" s="12">
        <v>14173</v>
      </c>
      <c r="G280" s="12">
        <v>294</v>
      </c>
      <c r="H280" s="12">
        <v>257</v>
      </c>
      <c r="I280" s="12">
        <v>1288</v>
      </c>
      <c r="J280" s="13">
        <v>39466</v>
      </c>
      <c r="K280" s="12">
        <v>55563</v>
      </c>
      <c r="L280" s="3" t="s">
        <v>18</v>
      </c>
      <c r="M280" s="30">
        <f>(F280 + G280 + H280 ) / K280</f>
        <v>0.26499649047027696</v>
      </c>
      <c r="N280" t="str">
        <f>IF(AND(C280&gt;=$T$2,C280&lt;=$U$2),"During","Before")</f>
        <v>Before</v>
      </c>
      <c r="O280" s="30">
        <f ca="1">AVERAGEIF($N$2:$N$301,"Before",M280)</f>
        <v>0.32630078735095847</v>
      </c>
      <c r="P280" s="30">
        <f ca="1">AVERAGEIF($N$2:$N$301,"During",M280)</f>
        <v>0.40622033029122734</v>
      </c>
      <c r="Q280" s="30">
        <f ca="1">(P280-O280)/O280</f>
        <v>0.24492598865325454</v>
      </c>
    </row>
    <row r="281" spans="1:17" ht="14.25" customHeight="1">
      <c r="A281" s="3" t="s">
        <v>477</v>
      </c>
      <c r="B281" s="3" t="s">
        <v>20</v>
      </c>
      <c r="C281" s="29">
        <v>45904</v>
      </c>
      <c r="D281" s="3" t="s">
        <v>22</v>
      </c>
      <c r="E281" s="3" t="s">
        <v>103</v>
      </c>
      <c r="F281" s="12">
        <v>21708</v>
      </c>
      <c r="G281" s="12">
        <v>435</v>
      </c>
      <c r="H281" s="12">
        <v>317</v>
      </c>
      <c r="I281" s="12">
        <v>1213</v>
      </c>
      <c r="J281" s="13">
        <v>23275</v>
      </c>
      <c r="K281" s="12">
        <v>83585</v>
      </c>
      <c r="L281" s="3" t="s">
        <v>37</v>
      </c>
      <c r="M281" s="30">
        <f>(F281 + G281 + H281 ) / K281</f>
        <v>0.26870850032900639</v>
      </c>
      <c r="N281" t="str">
        <f>IF(AND(C281&gt;=$T$6,C281&lt;=$U$6),"During","Before")</f>
        <v>During</v>
      </c>
      <c r="O281" s="30">
        <f ca="1">AVERAGEIF($N$2:$N$301,"Before",M281)</f>
        <v>0.3367799530266159</v>
      </c>
      <c r="P281" s="30">
        <f ca="1">AVERAGEIF($N$2:$N$301,"During",M281)</f>
        <v>0.40093176809331349</v>
      </c>
      <c r="Q281" s="30">
        <f ca="1">(P281-O281)/O281</f>
        <v>0.19048584837122903</v>
      </c>
    </row>
    <row r="282" spans="1:17" ht="14.25" customHeight="1">
      <c r="A282" s="3" t="s">
        <v>478</v>
      </c>
      <c r="B282" s="3" t="s">
        <v>44</v>
      </c>
      <c r="C282" s="29">
        <v>45932</v>
      </c>
      <c r="D282" s="3" t="s">
        <v>16</v>
      </c>
      <c r="E282" s="3" t="s">
        <v>60</v>
      </c>
      <c r="F282" s="12">
        <v>12161</v>
      </c>
      <c r="G282" s="12">
        <v>736</v>
      </c>
      <c r="H282" s="12">
        <v>876</v>
      </c>
      <c r="I282" s="12">
        <v>1233</v>
      </c>
      <c r="J282" s="13">
        <v>21337</v>
      </c>
      <c r="K282" s="12">
        <v>50225</v>
      </c>
      <c r="L282" s="3" t="s">
        <v>37</v>
      </c>
      <c r="M282" s="30">
        <f>(F282 + G282 + H282 ) / K282</f>
        <v>0.27422598307615731</v>
      </c>
      <c r="N282" t="str">
        <f>IF(AND(C282&gt;=$T$6,C282&lt;=$U$6),"During","Before")</f>
        <v>Before</v>
      </c>
      <c r="O282" s="30">
        <f ca="1">AVERAGEIF($N$2:$N$301,"Before",M282)</f>
        <v>0.34658488749013266</v>
      </c>
      <c r="P282" s="30">
        <f ca="1">AVERAGEIF($N$2:$N$301,"During",M282)</f>
        <v>0.39476784718032354</v>
      </c>
      <c r="Q282" s="30">
        <f ca="1">(P282-O282)/O282</f>
        <v>0.1390221023170338</v>
      </c>
    </row>
    <row r="283" spans="1:17" ht="14.25" customHeight="1">
      <c r="A283" s="3" t="s">
        <v>479</v>
      </c>
      <c r="B283" s="3" t="s">
        <v>62</v>
      </c>
      <c r="C283" s="29">
        <v>45918</v>
      </c>
      <c r="D283" s="3" t="s">
        <v>35</v>
      </c>
      <c r="E283" s="3" t="s">
        <v>51</v>
      </c>
      <c r="F283" s="12">
        <v>10152</v>
      </c>
      <c r="G283" s="12">
        <v>1445</v>
      </c>
      <c r="H283" s="12">
        <v>526</v>
      </c>
      <c r="I283" s="12">
        <v>513</v>
      </c>
      <c r="J283" s="13">
        <v>18959</v>
      </c>
      <c r="K283" s="12">
        <v>43712</v>
      </c>
      <c r="L283" s="3" t="s">
        <v>37</v>
      </c>
      <c r="M283" s="30">
        <f>(F283 + G283 + H283 ) / K283</f>
        <v>0.27733803074670571</v>
      </c>
      <c r="N283" t="str">
        <f>IF(AND(C283&gt;=$T$6,C283&lt;=$U$6),"During","Before")</f>
        <v>During</v>
      </c>
      <c r="O283" s="30">
        <f ca="1">AVERAGEIF($N$2:$N$301,"Before",M283)</f>
        <v>0.34577128617320657</v>
      </c>
      <c r="P283" s="30">
        <f ca="1">AVERAGEIF($N$2:$N$301,"During",M283)</f>
        <v>0.41590857822229027</v>
      </c>
      <c r="Q283" s="30">
        <f ca="1">(P283-O283)/O283</f>
        <v>0.20284302038298796</v>
      </c>
    </row>
    <row r="284" spans="1:17" ht="14.25" customHeight="1">
      <c r="A284" s="3" t="s">
        <v>480</v>
      </c>
      <c r="B284" s="3" t="s">
        <v>44</v>
      </c>
      <c r="C284" s="29" t="s">
        <v>481</v>
      </c>
      <c r="D284" s="3" t="s">
        <v>16</v>
      </c>
      <c r="E284" s="3" t="s">
        <v>88</v>
      </c>
      <c r="F284" s="12">
        <v>17781</v>
      </c>
      <c r="G284" s="12">
        <v>993</v>
      </c>
      <c r="H284" s="12">
        <v>627</v>
      </c>
      <c r="I284" s="12">
        <v>2187</v>
      </c>
      <c r="J284" s="13">
        <v>9609</v>
      </c>
      <c r="K284" s="12">
        <v>66155</v>
      </c>
      <c r="L284" s="3" t="s">
        <v>24</v>
      </c>
      <c r="M284" s="30">
        <f>(F284 + G284 + H284 ) / K284</f>
        <v>0.29326581513113142</v>
      </c>
      <c r="N284" t="str">
        <f>IF(AND(C284&gt;=$T$3,C284&lt;=$U$3),"During","Before")</f>
        <v>During</v>
      </c>
      <c r="O284" s="30">
        <f ca="1">AVERAGEIF($N$2:$N$301,"Before",M284)</f>
        <v>0.34418600647701958</v>
      </c>
      <c r="P284" s="30">
        <f ca="1">AVERAGEIF($N$2:$N$301,"During",M284)</f>
        <v>0.43856537101556975</v>
      </c>
      <c r="Q284" s="30">
        <f ca="1">(P284-O284)/O284</f>
        <v>0.27421034778429215</v>
      </c>
    </row>
    <row r="285" spans="1:17" ht="14.25" customHeight="1">
      <c r="A285" s="3" t="s">
        <v>482</v>
      </c>
      <c r="B285" s="3" t="s">
        <v>44</v>
      </c>
      <c r="C285" s="29" t="s">
        <v>259</v>
      </c>
      <c r="D285" s="3" t="s">
        <v>35</v>
      </c>
      <c r="E285" s="3" t="s">
        <v>32</v>
      </c>
      <c r="F285" s="12">
        <v>14891</v>
      </c>
      <c r="G285" s="12">
        <v>674</v>
      </c>
      <c r="H285" s="12">
        <v>521</v>
      </c>
      <c r="I285" s="12">
        <v>1091</v>
      </c>
      <c r="J285" s="13">
        <v>18101</v>
      </c>
      <c r="K285" s="12">
        <v>53669</v>
      </c>
      <c r="L285" s="3" t="s">
        <v>33</v>
      </c>
      <c r="M285" s="30">
        <f>(F285 + G285 + H285 ) / K285</f>
        <v>0.29972609886526674</v>
      </c>
      <c r="N285" s="8" t="str">
        <f>IF(AND(C285&gt;=$T$5,C285&lt;=$U$5),"During","Before")</f>
        <v>Before</v>
      </c>
      <c r="O285" s="30">
        <f ca="1">AVERAGEIF($N$2:$N$301,"Before",M285)</f>
        <v>0.35498517616260361</v>
      </c>
      <c r="P285" s="30">
        <f ca="1">AVERAGEIF($N$2:$N$301,"During",M285)</f>
        <v>0.43660243111099062</v>
      </c>
      <c r="Q285" s="30">
        <f ca="1">(P285-O285)/O285</f>
        <v>0.22991736114355832</v>
      </c>
    </row>
    <row r="286" spans="1:17" ht="14.25" customHeight="1">
      <c r="A286" s="3" t="s">
        <v>483</v>
      </c>
      <c r="B286" s="3" t="s">
        <v>20</v>
      </c>
      <c r="C286" s="29" t="s">
        <v>347</v>
      </c>
      <c r="D286" s="3" t="s">
        <v>22</v>
      </c>
      <c r="E286" s="3" t="s">
        <v>51</v>
      </c>
      <c r="F286" s="12">
        <v>18282</v>
      </c>
      <c r="G286" s="12">
        <v>224</v>
      </c>
      <c r="H286" s="12">
        <v>962</v>
      </c>
      <c r="I286" s="12">
        <v>890</v>
      </c>
      <c r="J286" s="13">
        <v>35105</v>
      </c>
      <c r="K286" s="12">
        <v>64089</v>
      </c>
      <c r="L286" s="3" t="s">
        <v>24</v>
      </c>
      <c r="M286" s="30">
        <f>(F286 + G286 + H286 ) / K286</f>
        <v>0.30376507669022768</v>
      </c>
      <c r="N286" t="str">
        <f>IF(AND(C286&gt;=$T$3,C286&lt;=$U$3),"During","Before")</f>
        <v>Before</v>
      </c>
      <c r="O286" s="30">
        <f ca="1">AVERAGEIF($N$2:$N$301,"Before",M286)</f>
        <v>0.36808509630936792</v>
      </c>
      <c r="P286" s="30">
        <f ca="1">AVERAGEIF($N$2:$N$301,"During",M286)</f>
        <v>0.4133411562065023</v>
      </c>
      <c r="Q286" s="30">
        <f ca="1">(P286-O286)/O286</f>
        <v>0.12294999268076205</v>
      </c>
    </row>
    <row r="287" spans="1:17" ht="14.25" customHeight="1">
      <c r="A287" s="3" t="s">
        <v>484</v>
      </c>
      <c r="B287" s="3" t="s">
        <v>14</v>
      </c>
      <c r="C287" s="29" t="s">
        <v>485</v>
      </c>
      <c r="D287" s="3" t="s">
        <v>31</v>
      </c>
      <c r="E287" s="3" t="s">
        <v>36</v>
      </c>
      <c r="F287" s="12">
        <v>16178</v>
      </c>
      <c r="G287" s="12">
        <v>1048</v>
      </c>
      <c r="H287" s="12">
        <v>871</v>
      </c>
      <c r="I287" s="12">
        <v>2553</v>
      </c>
      <c r="J287" s="13">
        <v>39025</v>
      </c>
      <c r="K287" s="12">
        <v>59508</v>
      </c>
      <c r="L287" s="3" t="s">
        <v>33</v>
      </c>
      <c r="M287" s="30">
        <f>(F287 + G287 + H287 ) / K287</f>
        <v>0.30411037171472743</v>
      </c>
      <c r="N287" s="8" t="str">
        <f>IF(AND(C287&gt;=$T$5,C287&lt;=$U$5),"During","Before")</f>
        <v>Before</v>
      </c>
      <c r="O287" s="30">
        <f ca="1">AVERAGEIF($N$2:$N$301,"Before",M287)</f>
        <v>0.38138998578536826</v>
      </c>
      <c r="P287" s="30">
        <f ca="1">AVERAGEIF($N$2:$N$301,"During",M287)</f>
        <v>0.33664878305877266</v>
      </c>
      <c r="Q287" s="30">
        <f ca="1">(P287-O287)/O287</f>
        <v>-0.11731090063747568</v>
      </c>
    </row>
    <row r="288" spans="1:17" ht="14.25" customHeight="1">
      <c r="A288" s="3" t="s">
        <v>486</v>
      </c>
      <c r="B288" s="3" t="s">
        <v>62</v>
      </c>
      <c r="C288" s="29" t="s">
        <v>381</v>
      </c>
      <c r="D288" s="3" t="s">
        <v>22</v>
      </c>
      <c r="E288" s="3" t="s">
        <v>60</v>
      </c>
      <c r="F288" s="12">
        <v>17913</v>
      </c>
      <c r="G288" s="12">
        <v>1311</v>
      </c>
      <c r="H288" s="12">
        <v>859</v>
      </c>
      <c r="I288" s="12">
        <v>405</v>
      </c>
      <c r="J288" s="13">
        <v>59842</v>
      </c>
      <c r="K288" s="12">
        <v>62612</v>
      </c>
      <c r="L288" s="3" t="s">
        <v>28</v>
      </c>
      <c r="M288" s="30">
        <f>(F288 + G288 + H288 ) / K288</f>
        <v>0.32075321024723696</v>
      </c>
      <c r="N288" t="str">
        <f>IF(AND(C288&gt;=$T$4,C288&lt;=$U$4),"During","Before")</f>
        <v>Before</v>
      </c>
      <c r="O288" s="30">
        <f ca="1">AVERAGEIF($N$2:$N$301,"Before",M288)</f>
        <v>0.38722147857847261</v>
      </c>
      <c r="P288" s="30">
        <f ca="1">AVERAGEIF($N$2:$N$301,"During",M288)</f>
        <v>0.33811899081905589</v>
      </c>
      <c r="Q288" s="30">
        <f ca="1">(P288-O288)/O288</f>
        <v>-0.12680724204575813</v>
      </c>
    </row>
    <row r="289" spans="1:17" ht="14.25" customHeight="1">
      <c r="A289" s="3" t="s">
        <v>487</v>
      </c>
      <c r="B289" s="3" t="s">
        <v>44</v>
      </c>
      <c r="C289" s="29" t="s">
        <v>488</v>
      </c>
      <c r="D289" s="3" t="s">
        <v>16</v>
      </c>
      <c r="E289" s="3" t="s">
        <v>17</v>
      </c>
      <c r="F289" s="12">
        <v>24350</v>
      </c>
      <c r="G289" s="12">
        <v>460</v>
      </c>
      <c r="H289" s="12">
        <v>666</v>
      </c>
      <c r="I289" s="12">
        <v>814</v>
      </c>
      <c r="J289" s="13"/>
      <c r="K289" s="12">
        <v>76914</v>
      </c>
      <c r="L289" s="3" t="s">
        <v>33</v>
      </c>
      <c r="M289" s="30">
        <f>(F289 + G289 + H289 ) / K289</f>
        <v>0.33122708479600593</v>
      </c>
      <c r="N289" s="8" t="str">
        <f>IF(AND(C289&gt;=$T$5,C289&lt;=$U$5),"During","Before")</f>
        <v>Before</v>
      </c>
      <c r="O289" s="30">
        <f ca="1">AVERAGEIF($N$2:$N$301,"Before",M289)</f>
        <v>0.39265004346612947</v>
      </c>
      <c r="P289" s="30">
        <f ca="1">AVERAGEIF($N$2:$N$301,"During",M289)</f>
        <v>0.33944448049841003</v>
      </c>
      <c r="Q289" s="30">
        <f ca="1">(P289-O289)/O289</f>
        <v>-0.13550377455213253</v>
      </c>
    </row>
    <row r="290" spans="1:17" ht="14.25" customHeight="1">
      <c r="A290" s="3" t="s">
        <v>489</v>
      </c>
      <c r="B290" s="3" t="s">
        <v>14</v>
      </c>
      <c r="C290" s="29" t="s">
        <v>222</v>
      </c>
      <c r="D290" s="3" t="s">
        <v>16</v>
      </c>
      <c r="E290" s="3" t="s">
        <v>103</v>
      </c>
      <c r="F290" s="12">
        <v>13479</v>
      </c>
      <c r="G290" s="12">
        <v>1189</v>
      </c>
      <c r="H290" s="12">
        <v>695</v>
      </c>
      <c r="I290" s="12">
        <v>416</v>
      </c>
      <c r="J290" s="13">
        <v>30229</v>
      </c>
      <c r="K290" s="12">
        <v>45704</v>
      </c>
      <c r="L290" s="3" t="s">
        <v>33</v>
      </c>
      <c r="M290" s="30">
        <f>(F290 + G290 + H290 ) / K290</f>
        <v>0.33614125678277612</v>
      </c>
      <c r="N290" s="8" t="str">
        <f>IF(AND(C290&gt;=$T$5,C290&lt;=$U$5),"During","Before")</f>
        <v>Before</v>
      </c>
      <c r="O290" s="30">
        <f ca="1">AVERAGEIF($N$2:$N$301,"Before",M290)</f>
        <v>0.39689949691299486</v>
      </c>
      <c r="P290" s="30">
        <f ca="1">AVERAGEIF($N$2:$N$301,"During",M290)</f>
        <v>0.35412345125301342</v>
      </c>
      <c r="Q290" s="30">
        <f ca="1">(P290-O290)/O290</f>
        <v>-0.10777550990284693</v>
      </c>
    </row>
    <row r="291" spans="1:17" ht="14.25" customHeight="1">
      <c r="A291" s="3" t="s">
        <v>490</v>
      </c>
      <c r="B291" s="3" t="s">
        <v>62</v>
      </c>
      <c r="C291" s="29" t="s">
        <v>491</v>
      </c>
      <c r="D291" s="3" t="s">
        <v>16</v>
      </c>
      <c r="E291" s="3" t="s">
        <v>46</v>
      </c>
      <c r="F291" s="12">
        <v>23833</v>
      </c>
      <c r="G291" s="12">
        <v>555</v>
      </c>
      <c r="H291" s="12">
        <v>523</v>
      </c>
      <c r="I291" s="12">
        <v>1330</v>
      </c>
      <c r="J291" s="13">
        <v>69141</v>
      </c>
      <c r="K291" s="12">
        <v>73997</v>
      </c>
      <c r="L291" s="3" t="s">
        <v>24</v>
      </c>
      <c r="M291" s="30">
        <f>(F291 + G291 + H291 ) / K291</f>
        <v>0.33664878305877266</v>
      </c>
      <c r="N291" t="str">
        <f>IF(AND(C291&gt;=$T$3,C291&lt;=$U$3),"During","Before")</f>
        <v>Before</v>
      </c>
      <c r="O291" s="30">
        <f ca="1">AVERAGEIF($N$2:$N$301,"Before",M291)</f>
        <v>0.40162356654153664</v>
      </c>
      <c r="P291" s="30">
        <f ca="1">AVERAGEIF($N$2:$N$301,"During",M291)</f>
        <v>0.36764099509781462</v>
      </c>
      <c r="Q291" s="30">
        <f ca="1">(P291-O291)/O291</f>
        <v>-8.4612991554138497E-2</v>
      </c>
    </row>
    <row r="292" spans="1:17" ht="14.25" customHeight="1">
      <c r="A292" s="3" t="s">
        <v>492</v>
      </c>
      <c r="B292" s="3" t="s">
        <v>44</v>
      </c>
      <c r="C292" s="29" t="s">
        <v>493</v>
      </c>
      <c r="D292" s="3" t="s">
        <v>31</v>
      </c>
      <c r="E292" s="3" t="s">
        <v>36</v>
      </c>
      <c r="F292" s="12">
        <v>21181</v>
      </c>
      <c r="G292" s="12">
        <v>1242</v>
      </c>
      <c r="H292" s="12">
        <v>963</v>
      </c>
      <c r="I292" s="12">
        <v>1689</v>
      </c>
      <c r="J292" s="13">
        <v>49329</v>
      </c>
      <c r="K292" s="12">
        <v>69165</v>
      </c>
      <c r="L292" s="3" t="s">
        <v>33</v>
      </c>
      <c r="M292" s="30">
        <f>(F292 + G292 + H292 ) / K292</f>
        <v>0.33811899081905589</v>
      </c>
      <c r="N292" s="8" t="str">
        <f>IF(AND(C292&gt;=$T$5,C292&lt;=$U$5),"During","Before")</f>
        <v>Before</v>
      </c>
      <c r="O292" s="30">
        <f ca="1">AVERAGEIF($N$2:$N$301,"Before",M292)</f>
        <v>0.40591271535959178</v>
      </c>
      <c r="P292" s="30">
        <f ca="1">AVERAGEIF($N$2:$N$301,"During",M292)</f>
        <v>0.39401343921808185</v>
      </c>
      <c r="Q292" s="30">
        <f ca="1">(P292-O292)/O292</f>
        <v>-2.9314864233727058E-2</v>
      </c>
    </row>
    <row r="293" spans="1:17" ht="14.25" customHeight="1">
      <c r="A293" s="3" t="s">
        <v>494</v>
      </c>
      <c r="B293" s="3" t="s">
        <v>62</v>
      </c>
      <c r="C293" s="29">
        <v>45909</v>
      </c>
      <c r="D293" s="3" t="s">
        <v>31</v>
      </c>
      <c r="E293" s="3" t="s">
        <v>32</v>
      </c>
      <c r="F293" s="12">
        <v>19260</v>
      </c>
      <c r="G293" s="12">
        <v>668</v>
      </c>
      <c r="H293" s="12">
        <v>994</v>
      </c>
      <c r="I293" s="12">
        <v>934</v>
      </c>
      <c r="J293" s="13">
        <v>20509</v>
      </c>
      <c r="K293" s="12">
        <v>61636</v>
      </c>
      <c r="L293" s="3" t="s">
        <v>37</v>
      </c>
      <c r="M293" s="30">
        <f>(F293 + G293 + H293 ) / K293</f>
        <v>0.33944448049841003</v>
      </c>
      <c r="N293" t="str">
        <f>IF(AND(C293&gt;=$T$6,C293&lt;=$U$6),"During","Before")</f>
        <v>During</v>
      </c>
      <c r="O293" s="30">
        <f ca="1">AVERAGEIF($N$2:$N$301,"Before",M293)</f>
        <v>0.41316092035899771</v>
      </c>
      <c r="P293" s="30">
        <f ca="1">AVERAGEIF($N$2:$N$301,"During",M293)</f>
        <v>0.40382152376337016</v>
      </c>
      <c r="Q293" s="30">
        <f ca="1">(P293-O293)/O293</f>
        <v>-2.2604743419373973E-2</v>
      </c>
    </row>
    <row r="294" spans="1:17" ht="14.25" customHeight="1">
      <c r="A294" s="3" t="s">
        <v>495</v>
      </c>
      <c r="B294" s="3" t="s">
        <v>62</v>
      </c>
      <c r="C294" s="29">
        <v>45908</v>
      </c>
      <c r="D294" s="3" t="s">
        <v>35</v>
      </c>
      <c r="E294" s="3" t="s">
        <v>46</v>
      </c>
      <c r="F294" s="12">
        <v>23785</v>
      </c>
      <c r="G294" s="12">
        <v>1013</v>
      </c>
      <c r="H294" s="12">
        <v>468</v>
      </c>
      <c r="I294" s="12">
        <v>1628</v>
      </c>
      <c r="J294" s="13">
        <v>8272</v>
      </c>
      <c r="K294" s="12">
        <v>71348</v>
      </c>
      <c r="L294" s="3" t="s">
        <v>37</v>
      </c>
      <c r="M294" s="30">
        <f>(F294 + G294 + H294 ) / K294</f>
        <v>0.35412345125301342</v>
      </c>
      <c r="N294" t="str">
        <f>IF(AND(C294&gt;=$T$6,C294&lt;=$U$6),"During","Before")</f>
        <v>During</v>
      </c>
      <c r="O294" s="30">
        <f ca="1">AVERAGEIF($N$2:$N$301,"Before",M294)</f>
        <v>0.42187252616390308</v>
      </c>
      <c r="P294" s="30">
        <f ca="1">AVERAGEIF($N$2:$N$301,"During",M294)</f>
        <v>0.41655672298962027</v>
      </c>
      <c r="Q294" s="30">
        <f ca="1">(P294-O294)/O294</f>
        <v>-1.2600496227188679E-2</v>
      </c>
    </row>
    <row r="295" spans="1:17" ht="14.25" customHeight="1">
      <c r="A295" s="3" t="s">
        <v>496</v>
      </c>
      <c r="B295" s="3" t="s">
        <v>44</v>
      </c>
      <c r="C295" s="29" t="s">
        <v>326</v>
      </c>
      <c r="D295" s="3" t="s">
        <v>22</v>
      </c>
      <c r="E295" s="3" t="s">
        <v>23</v>
      </c>
      <c r="F295" s="12">
        <v>14977</v>
      </c>
      <c r="G295" s="12">
        <v>274</v>
      </c>
      <c r="H295" s="12">
        <v>798</v>
      </c>
      <c r="I295" s="12">
        <v>458</v>
      </c>
      <c r="J295" s="13">
        <v>6636</v>
      </c>
      <c r="K295" s="12">
        <v>43654</v>
      </c>
      <c r="L295" s="3" t="s">
        <v>33</v>
      </c>
      <c r="M295" s="30">
        <f>(F295 + G295 + H295 ) / K295</f>
        <v>0.36764099509781462</v>
      </c>
      <c r="N295" s="8" t="str">
        <f>IF(AND(C295&gt;=$T$5,C295&lt;=$U$5),"During","Before")</f>
        <v>Before</v>
      </c>
      <c r="O295" s="30">
        <f ca="1">AVERAGEIF($N$2:$N$301,"Before",M295)</f>
        <v>0.42676881493430874</v>
      </c>
      <c r="P295" s="30">
        <f ca="1">AVERAGEIF($N$2:$N$301,"During",M295)</f>
        <v>0.454928065278076</v>
      </c>
      <c r="Q295" s="30">
        <f ca="1">(P295-O295)/O295</f>
        <v>6.5982446135624345E-2</v>
      </c>
    </row>
    <row r="296" spans="1:17" ht="14.25" customHeight="1">
      <c r="A296" s="3" t="s">
        <v>497</v>
      </c>
      <c r="B296" s="3" t="s">
        <v>62</v>
      </c>
      <c r="C296" s="29" t="s">
        <v>459</v>
      </c>
      <c r="D296" s="3" t="s">
        <v>22</v>
      </c>
      <c r="E296" s="3" t="s">
        <v>17</v>
      </c>
      <c r="F296" s="12">
        <v>17183</v>
      </c>
      <c r="G296" s="12">
        <v>1224</v>
      </c>
      <c r="H296" s="12">
        <v>943</v>
      </c>
      <c r="I296" s="12">
        <v>2010</v>
      </c>
      <c r="J296" s="13">
        <v>21481</v>
      </c>
      <c r="K296" s="12">
        <v>49110</v>
      </c>
      <c r="L296" s="3" t="s">
        <v>28</v>
      </c>
      <c r="M296" s="30">
        <f>(F296 + G296 + H296 ) / K296</f>
        <v>0.39401343921808185</v>
      </c>
      <c r="N296" t="str">
        <f>IF(AND(C296&gt;=$T$4,C296&lt;=$U$4),"During","Before")</f>
        <v>Before</v>
      </c>
      <c r="O296" s="30">
        <f ca="1">AVERAGEIF($N$2:$N$301,"Before",M296)</f>
        <v>0.43197216137587535</v>
      </c>
      <c r="P296" s="30">
        <f ca="1">AVERAGEIF($N$2:$N$301,"During",M296)</f>
        <v>0.48803915290673738</v>
      </c>
      <c r="Q296" s="30">
        <f ca="1">(P296-O296)/O296</f>
        <v>0.12979306664643145</v>
      </c>
    </row>
    <row r="297" spans="1:17" ht="14.25" customHeight="1">
      <c r="A297" s="3" t="s">
        <v>498</v>
      </c>
      <c r="B297" s="3" t="s">
        <v>20</v>
      </c>
      <c r="C297" s="29" t="s">
        <v>499</v>
      </c>
      <c r="D297" s="3" t="s">
        <v>16</v>
      </c>
      <c r="E297" s="3" t="s">
        <v>32</v>
      </c>
      <c r="F297" s="12">
        <v>21255</v>
      </c>
      <c r="G297" s="12">
        <v>1452</v>
      </c>
      <c r="H297" s="12">
        <v>625</v>
      </c>
      <c r="I297" s="12">
        <v>1624</v>
      </c>
      <c r="J297" s="13">
        <v>23275</v>
      </c>
      <c r="K297" s="12">
        <v>57778</v>
      </c>
      <c r="L297" s="3" t="s">
        <v>18</v>
      </c>
      <c r="M297" s="30">
        <f>(F297 + G297 + H297 ) / K297</f>
        <v>0.40382152376337016</v>
      </c>
      <c r="N297" t="str">
        <f>IF(AND(C297&gt;=$T$2,C297&lt;=$U$2),"During","Before")</f>
        <v>Before</v>
      </c>
      <c r="O297" s="30">
        <f ca="1">AVERAGEIF($N$2:$N$301,"Before",M297)</f>
        <v>0.44083636623445094</v>
      </c>
      <c r="P297" s="30">
        <f ca="1">AVERAGEIF($N$2:$N$301,"During",M297)</f>
        <v>0.49054105563022848</v>
      </c>
      <c r="Q297" s="30">
        <f ca="1">(P297-O297)/O297</f>
        <v>0.11275088264687989</v>
      </c>
    </row>
    <row r="298" spans="1:17" ht="14.25" customHeight="1">
      <c r="A298" s="3" t="s">
        <v>500</v>
      </c>
      <c r="B298" s="3" t="s">
        <v>62</v>
      </c>
      <c r="C298" s="29" t="s">
        <v>256</v>
      </c>
      <c r="D298" s="3" t="s">
        <v>31</v>
      </c>
      <c r="E298" s="3" t="s">
        <v>17</v>
      </c>
      <c r="F298" s="12">
        <v>24415</v>
      </c>
      <c r="G298" s="12">
        <v>860</v>
      </c>
      <c r="H298" s="12">
        <v>931</v>
      </c>
      <c r="I298" s="12">
        <v>320</v>
      </c>
      <c r="J298" s="13">
        <v>65049</v>
      </c>
      <c r="K298" s="12">
        <v>62911</v>
      </c>
      <c r="L298" s="3" t="s">
        <v>33</v>
      </c>
      <c r="M298" s="30">
        <f>(F298 + G298 + H298 ) / K298</f>
        <v>0.41655672298962027</v>
      </c>
      <c r="N298" s="8" t="str">
        <f>IF(AND(C298&gt;=$T$5,C298&lt;=$U$5),"During","Before")</f>
        <v>Before</v>
      </c>
      <c r="O298" s="30">
        <f ca="1">AVERAGEIF($N$2:$N$301,"Before",M298)</f>
        <v>0.46251624920116557</v>
      </c>
      <c r="P298" s="30" t="e">
        <f ca="1">AVERAGEIF($N$2:$N$301,"During",M298)</f>
        <v>#DIV/0!</v>
      </c>
      <c r="Q298" s="30" t="e">
        <f ca="1">(P298-O298)/O298</f>
        <v>#DIV/0!</v>
      </c>
    </row>
    <row r="299" spans="1:17" ht="14.25" customHeight="1">
      <c r="A299" s="3" t="s">
        <v>501</v>
      </c>
      <c r="B299" s="3" t="s">
        <v>14</v>
      </c>
      <c r="C299" s="29" t="s">
        <v>57</v>
      </c>
      <c r="D299" s="3" t="s">
        <v>22</v>
      </c>
      <c r="E299" s="3" t="s">
        <v>103</v>
      </c>
      <c r="F299" s="12">
        <v>19144</v>
      </c>
      <c r="G299" s="12">
        <v>1182</v>
      </c>
      <c r="H299" s="12">
        <v>860</v>
      </c>
      <c r="I299" s="12">
        <v>1398</v>
      </c>
      <c r="J299" s="13">
        <v>4185</v>
      </c>
      <c r="K299" s="12">
        <v>46570</v>
      </c>
      <c r="L299" s="3" t="s">
        <v>33</v>
      </c>
      <c r="M299" s="30">
        <f>(F299 + G299 + H299 ) / K299</f>
        <v>0.454928065278076</v>
      </c>
      <c r="N299" s="8" t="str">
        <f>IF(AND(C299&gt;=$T$5,C299&lt;=$U$5),"During","Before")</f>
        <v>Before</v>
      </c>
      <c r="O299" s="30">
        <f ca="1">AVERAGEIF($N$2:$N$301,"Before",M299)</f>
        <v>0.47783609127168064</v>
      </c>
      <c r="P299" s="30" t="e">
        <f ca="1">AVERAGEIF($N$2:$N$301,"During",M299)</f>
        <v>#DIV/0!</v>
      </c>
      <c r="Q299" s="30" t="e">
        <f ca="1">(P299-O299)/O299</f>
        <v>#DIV/0!</v>
      </c>
    </row>
    <row r="300" spans="1:17" ht="14.25" customHeight="1">
      <c r="A300" s="3" t="s">
        <v>502</v>
      </c>
      <c r="B300" s="3" t="s">
        <v>20</v>
      </c>
      <c r="C300" s="29" t="s">
        <v>156</v>
      </c>
      <c r="D300" s="3" t="s">
        <v>35</v>
      </c>
      <c r="E300" s="3" t="s">
        <v>88</v>
      </c>
      <c r="F300" s="12">
        <v>20360</v>
      </c>
      <c r="G300" s="12">
        <v>254</v>
      </c>
      <c r="H300" s="12">
        <v>726</v>
      </c>
      <c r="I300" s="12">
        <v>1995</v>
      </c>
      <c r="J300" s="13">
        <v>14280</v>
      </c>
      <c r="K300" s="12">
        <v>43726</v>
      </c>
      <c r="L300" s="3" t="s">
        <v>24</v>
      </c>
      <c r="M300" s="30">
        <f>(F300 + G300 + H300 ) / K300</f>
        <v>0.48803915290673738</v>
      </c>
      <c r="N300" t="str">
        <f>IF(AND(C300&gt;=$T$3,C300&lt;=$U$3),"During","Before")</f>
        <v>Before</v>
      </c>
      <c r="O300" s="30">
        <f ca="1">AVERAGEIF($N$2:$N$301,"Before",M300)</f>
        <v>0.48929010426848296</v>
      </c>
      <c r="P300" s="30" t="e">
        <f ca="1">AVERAGEIF($N$2:$N$301,"During",M300)</f>
        <v>#DIV/0!</v>
      </c>
      <c r="Q300" s="30" t="e">
        <f ca="1">(P300-O300)/O300</f>
        <v>#DIV/0!</v>
      </c>
    </row>
    <row r="301" spans="1:17" ht="14.25" customHeight="1">
      <c r="A301" s="3" t="s">
        <v>503</v>
      </c>
      <c r="B301" s="3" t="s">
        <v>14</v>
      </c>
      <c r="C301" s="29" t="s">
        <v>504</v>
      </c>
      <c r="D301" s="3" t="s">
        <v>22</v>
      </c>
      <c r="E301" s="3" t="s">
        <v>32</v>
      </c>
      <c r="F301" s="12">
        <v>22914</v>
      </c>
      <c r="G301" s="12">
        <v>954</v>
      </c>
      <c r="H301" s="12">
        <v>584</v>
      </c>
      <c r="I301" s="12">
        <v>1519</v>
      </c>
      <c r="J301" s="13">
        <v>13637</v>
      </c>
      <c r="K301" s="12">
        <v>49847</v>
      </c>
      <c r="L301" s="3" t="s">
        <v>33</v>
      </c>
      <c r="M301" s="30">
        <f>(F301 + G301 + H301 ) / K301</f>
        <v>0.49054105563022848</v>
      </c>
      <c r="N301" s="8" t="str">
        <f>IF(AND(C301&gt;=$T$5,C301&lt;=$U$5),"During","Before")</f>
        <v>Before</v>
      </c>
      <c r="O301" s="30">
        <f ca="1">AVERAGEIF($N$2:$N$301,"Before",M301)</f>
        <v>0.49054105563022848</v>
      </c>
      <c r="P301" s="30" t="e">
        <f ca="1">AVERAGEIF($N$2:$N$301,"During",M301)</f>
        <v>#DIV/0!</v>
      </c>
      <c r="Q301" s="30" t="e">
        <f ca="1">(P301-O301)/O301</f>
        <v>#DIV/0!</v>
      </c>
    </row>
    <row r="302" spans="1:17" ht="14.25" customHeight="1">
      <c r="J302" s="6"/>
      <c r="M302" s="30"/>
    </row>
    <row r="303" spans="1:17" ht="14.25" customHeight="1">
      <c r="J303" s="6"/>
      <c r="M303" s="30"/>
    </row>
    <row r="304" spans="1:17" ht="14.25" customHeight="1">
      <c r="A304" s="8"/>
      <c r="B304" s="8"/>
      <c r="C304" s="14"/>
      <c r="J304" s="6"/>
      <c r="M304" s="30"/>
    </row>
    <row r="305" spans="3:13" ht="14.25" customHeight="1">
      <c r="C305" s="14"/>
      <c r="J305" s="6"/>
      <c r="M305" s="30"/>
    </row>
    <row r="306" spans="3:13" ht="14.25" customHeight="1">
      <c r="C306" s="14"/>
      <c r="J306" s="6"/>
      <c r="M306" s="30"/>
    </row>
    <row r="307" spans="3:13" ht="14.25" customHeight="1">
      <c r="C307" s="14"/>
      <c r="J307" s="6"/>
      <c r="M307" s="30"/>
    </row>
    <row r="308" spans="3:13" ht="14.25" customHeight="1">
      <c r="C308" s="14"/>
      <c r="J308" s="6"/>
      <c r="M308" s="30"/>
    </row>
    <row r="309" spans="3:13" ht="14.25" customHeight="1">
      <c r="J309" s="6"/>
      <c r="M309" s="30"/>
    </row>
    <row r="310" spans="3:13" ht="14.25" customHeight="1">
      <c r="J310" s="6"/>
      <c r="M310" s="30"/>
    </row>
    <row r="311" spans="3:13" ht="14.25" customHeight="1">
      <c r="J311" s="6"/>
      <c r="M311" s="30"/>
    </row>
    <row r="312" spans="3:13" ht="14.25" customHeight="1">
      <c r="J312" s="6"/>
      <c r="M312" s="30"/>
    </row>
    <row r="313" spans="3:13" ht="14.25" customHeight="1">
      <c r="J313" s="6"/>
      <c r="M313" s="30"/>
    </row>
    <row r="314" spans="3:13" ht="14.25" customHeight="1">
      <c r="J314" s="6"/>
      <c r="M314" s="30"/>
    </row>
    <row r="315" spans="3:13" ht="14.25" customHeight="1">
      <c r="J315" s="6"/>
      <c r="M315" s="30"/>
    </row>
    <row r="316" spans="3:13" ht="14.25" customHeight="1">
      <c r="J316" s="6"/>
      <c r="M316" s="30"/>
    </row>
    <row r="317" spans="3:13" ht="14.25" customHeight="1">
      <c r="J317" s="6"/>
      <c r="M317" s="30"/>
    </row>
    <row r="318" spans="3:13" ht="14.25" customHeight="1">
      <c r="J318" s="6"/>
      <c r="M318" s="30"/>
    </row>
    <row r="319" spans="3:13" ht="14.25" customHeight="1">
      <c r="J319" s="6"/>
      <c r="M319" s="30"/>
    </row>
    <row r="320" spans="3:13" ht="14.25" customHeight="1">
      <c r="J320" s="6"/>
    </row>
    <row r="321" spans="10:10" ht="14.25" customHeight="1">
      <c r="J321" s="6"/>
    </row>
    <row r="322" spans="10:10" ht="14.25" customHeight="1">
      <c r="J322" s="6"/>
    </row>
    <row r="323" spans="10:10" ht="14.25" customHeight="1">
      <c r="J323" s="6"/>
    </row>
    <row r="324" spans="10:10" ht="14.25" customHeight="1">
      <c r="J324" s="6"/>
    </row>
    <row r="325" spans="10:10" ht="14.25" customHeight="1">
      <c r="J325" s="6"/>
    </row>
    <row r="326" spans="10:10" ht="14.25" customHeight="1">
      <c r="J326" s="6"/>
    </row>
    <row r="327" spans="10:10" ht="14.25" customHeight="1">
      <c r="J327" s="6"/>
    </row>
    <row r="328" spans="10:10" ht="14.25" customHeight="1">
      <c r="J328" s="6"/>
    </row>
    <row r="329" spans="10:10" ht="14.25" customHeight="1">
      <c r="J329" s="6"/>
    </row>
    <row r="330" spans="10:10" ht="14.25" customHeight="1">
      <c r="J330" s="6"/>
    </row>
    <row r="331" spans="10:10" ht="14.25" customHeight="1">
      <c r="J331" s="6"/>
    </row>
    <row r="332" spans="10:10" ht="14.25" customHeight="1">
      <c r="J332" s="6"/>
    </row>
    <row r="333" spans="10:10" ht="14.25" customHeight="1">
      <c r="J333" s="6"/>
    </row>
    <row r="334" spans="10:10" ht="14.25" customHeight="1">
      <c r="J334" s="6"/>
    </row>
    <row r="335" spans="10:10" ht="14.25" customHeight="1">
      <c r="J335" s="6"/>
    </row>
    <row r="336" spans="10:10" ht="14.25" customHeight="1">
      <c r="J336" s="6"/>
    </row>
    <row r="337" spans="10:10" ht="14.25" customHeight="1">
      <c r="J337" s="6"/>
    </row>
    <row r="338" spans="10:10" ht="14.25" customHeight="1">
      <c r="J338" s="6"/>
    </row>
    <row r="339" spans="10:10" ht="14.25" customHeight="1">
      <c r="J339" s="6"/>
    </row>
    <row r="340" spans="10:10" ht="14.25" customHeight="1">
      <c r="J340" s="6"/>
    </row>
    <row r="341" spans="10:10" ht="14.25" customHeight="1">
      <c r="J341" s="6"/>
    </row>
    <row r="342" spans="10:10" ht="14.25" customHeight="1">
      <c r="J342" s="6"/>
    </row>
    <row r="343" spans="10:10" ht="14.25" customHeight="1">
      <c r="J343" s="6"/>
    </row>
    <row r="344" spans="10:10" ht="14.25" customHeight="1">
      <c r="J344" s="6"/>
    </row>
    <row r="345" spans="10:10" ht="14.25" customHeight="1">
      <c r="J345" s="6"/>
    </row>
    <row r="346" spans="10:10" ht="14.25" customHeight="1">
      <c r="J346" s="6"/>
    </row>
    <row r="347" spans="10:10" ht="14.25" customHeight="1">
      <c r="J347" s="6"/>
    </row>
    <row r="348" spans="10:10" ht="14.25" customHeight="1">
      <c r="J348" s="6"/>
    </row>
    <row r="349" spans="10:10" ht="14.25" customHeight="1">
      <c r="J349" s="6"/>
    </row>
    <row r="350" spans="10:10" ht="14.25" customHeight="1">
      <c r="J350" s="6"/>
    </row>
    <row r="351" spans="10:10" ht="14.25" customHeight="1">
      <c r="J351" s="6"/>
    </row>
    <row r="352" spans="10:10" ht="14.25" customHeight="1">
      <c r="J352" s="6"/>
    </row>
    <row r="353" spans="10:10" ht="14.25" customHeight="1">
      <c r="J353" s="6"/>
    </row>
    <row r="354" spans="10:10" ht="14.25" customHeight="1">
      <c r="J354" s="6"/>
    </row>
    <row r="355" spans="10:10" ht="14.25" customHeight="1">
      <c r="J355" s="6"/>
    </row>
    <row r="356" spans="10:10" ht="14.25" customHeight="1">
      <c r="J356" s="6"/>
    </row>
    <row r="357" spans="10:10" ht="14.25" customHeight="1">
      <c r="J357" s="6"/>
    </row>
    <row r="358" spans="10:10" ht="14.25" customHeight="1">
      <c r="J358" s="6"/>
    </row>
    <row r="359" spans="10:10" ht="14.25" customHeight="1">
      <c r="J359" s="6"/>
    </row>
    <row r="360" spans="10:10" ht="14.25" customHeight="1">
      <c r="J360" s="6"/>
    </row>
    <row r="361" spans="10:10" ht="14.25" customHeight="1">
      <c r="J361" s="6"/>
    </row>
    <row r="362" spans="10:10" ht="14.25" customHeight="1">
      <c r="J362" s="6"/>
    </row>
    <row r="363" spans="10:10" ht="14.25" customHeight="1">
      <c r="J363" s="6"/>
    </row>
    <row r="364" spans="10:10" ht="14.25" customHeight="1">
      <c r="J364" s="6"/>
    </row>
    <row r="365" spans="10:10" ht="14.25" customHeight="1">
      <c r="J365" s="6"/>
    </row>
    <row r="366" spans="10:10" ht="14.25" customHeight="1">
      <c r="J366" s="6"/>
    </row>
    <row r="367" spans="10:10" ht="14.25" customHeight="1">
      <c r="J367" s="6"/>
    </row>
    <row r="368" spans="10:10" ht="14.25" customHeight="1">
      <c r="J368" s="6"/>
    </row>
    <row r="369" spans="10:10" ht="14.25" customHeight="1">
      <c r="J369" s="6"/>
    </row>
    <row r="370" spans="10:10" ht="14.25" customHeight="1">
      <c r="J370" s="6"/>
    </row>
    <row r="371" spans="10:10" ht="14.25" customHeight="1">
      <c r="J371" s="6"/>
    </row>
    <row r="372" spans="10:10" ht="14.25" customHeight="1">
      <c r="J372" s="6"/>
    </row>
    <row r="373" spans="10:10" ht="14.25" customHeight="1">
      <c r="J373" s="6"/>
    </row>
    <row r="374" spans="10:10" ht="14.25" customHeight="1">
      <c r="J374" s="6"/>
    </row>
    <row r="375" spans="10:10" ht="14.25" customHeight="1">
      <c r="J375" s="6"/>
    </row>
    <row r="376" spans="10:10" ht="14.25" customHeight="1">
      <c r="J376" s="6"/>
    </row>
    <row r="377" spans="10:10" ht="14.25" customHeight="1">
      <c r="J377" s="6"/>
    </row>
    <row r="378" spans="10:10" ht="14.25" customHeight="1">
      <c r="J378" s="6"/>
    </row>
    <row r="379" spans="10:10" ht="14.25" customHeight="1">
      <c r="J379" s="6"/>
    </row>
    <row r="380" spans="10:10" ht="14.25" customHeight="1">
      <c r="J380" s="6"/>
    </row>
    <row r="381" spans="10:10" ht="14.25" customHeight="1">
      <c r="J381" s="6"/>
    </row>
    <row r="382" spans="10:10" ht="14.25" customHeight="1">
      <c r="J382" s="6"/>
    </row>
    <row r="383" spans="10:10" ht="14.25" customHeight="1">
      <c r="J383" s="6"/>
    </row>
    <row r="384" spans="10:10" ht="14.25" customHeight="1">
      <c r="J384" s="6"/>
    </row>
    <row r="385" spans="10:10" ht="14.25" customHeight="1">
      <c r="J385" s="6"/>
    </row>
    <row r="386" spans="10:10" ht="14.25" customHeight="1">
      <c r="J386" s="6"/>
    </row>
    <row r="387" spans="10:10" ht="14.25" customHeight="1">
      <c r="J387" s="6"/>
    </row>
    <row r="388" spans="10:10" ht="14.25" customHeight="1">
      <c r="J388" s="6"/>
    </row>
    <row r="389" spans="10:10" ht="14.25" customHeight="1">
      <c r="J389" s="6"/>
    </row>
    <row r="390" spans="10:10" ht="14.25" customHeight="1">
      <c r="J390" s="6"/>
    </row>
    <row r="391" spans="10:10" ht="14.25" customHeight="1">
      <c r="J391" s="6"/>
    </row>
    <row r="392" spans="10:10" ht="14.25" customHeight="1">
      <c r="J392" s="6"/>
    </row>
    <row r="393" spans="10:10" ht="14.25" customHeight="1">
      <c r="J393" s="6"/>
    </row>
    <row r="394" spans="10:10" ht="14.25" customHeight="1">
      <c r="J394" s="6"/>
    </row>
    <row r="395" spans="10:10" ht="14.25" customHeight="1">
      <c r="J395" s="6"/>
    </row>
    <row r="396" spans="10:10" ht="14.25" customHeight="1">
      <c r="J396" s="6"/>
    </row>
    <row r="397" spans="10:10" ht="14.25" customHeight="1">
      <c r="J397" s="6"/>
    </row>
    <row r="398" spans="10:10" ht="14.25" customHeight="1">
      <c r="J398" s="6"/>
    </row>
    <row r="399" spans="10:10" ht="14.25" customHeight="1">
      <c r="J399" s="6"/>
    </row>
    <row r="400" spans="10:10" ht="14.25" customHeight="1">
      <c r="J400" s="6"/>
    </row>
    <row r="401" spans="10:10" ht="14.25" customHeight="1">
      <c r="J401" s="6"/>
    </row>
    <row r="402" spans="10:10" ht="14.25" customHeight="1">
      <c r="J402" s="6"/>
    </row>
    <row r="403" spans="10:10" ht="14.25" customHeight="1">
      <c r="J403" s="6"/>
    </row>
    <row r="404" spans="10:10" ht="14.25" customHeight="1">
      <c r="J404" s="6"/>
    </row>
    <row r="405" spans="10:10" ht="14.25" customHeight="1">
      <c r="J405" s="6"/>
    </row>
    <row r="406" spans="10:10" ht="14.25" customHeight="1">
      <c r="J406" s="6"/>
    </row>
    <row r="407" spans="10:10" ht="14.25" customHeight="1">
      <c r="J407" s="6"/>
    </row>
    <row r="408" spans="10:10" ht="14.25" customHeight="1">
      <c r="J408" s="6"/>
    </row>
    <row r="409" spans="10:10" ht="14.25" customHeight="1">
      <c r="J409" s="6"/>
    </row>
    <row r="410" spans="10:10" ht="14.25" customHeight="1">
      <c r="J410" s="6"/>
    </row>
    <row r="411" spans="10:10" ht="14.25" customHeight="1">
      <c r="J411" s="6"/>
    </row>
    <row r="412" spans="10:10" ht="14.25" customHeight="1">
      <c r="J412" s="6"/>
    </row>
    <row r="413" spans="10:10" ht="14.25" customHeight="1">
      <c r="J413" s="6"/>
    </row>
    <row r="414" spans="10:10" ht="14.25" customHeight="1">
      <c r="J414" s="6"/>
    </row>
    <row r="415" spans="10:10" ht="14.25" customHeight="1">
      <c r="J415" s="6"/>
    </row>
    <row r="416" spans="10:10" ht="14.25" customHeight="1">
      <c r="J416" s="6"/>
    </row>
    <row r="417" spans="10:10" ht="14.25" customHeight="1">
      <c r="J417" s="6"/>
    </row>
    <row r="418" spans="10:10" ht="14.25" customHeight="1">
      <c r="J418" s="6"/>
    </row>
    <row r="419" spans="10:10" ht="14.25" customHeight="1">
      <c r="J419" s="6"/>
    </row>
    <row r="420" spans="10:10" ht="14.25" customHeight="1">
      <c r="J420" s="6"/>
    </row>
    <row r="421" spans="10:10" ht="14.25" customHeight="1">
      <c r="J421" s="6"/>
    </row>
    <row r="422" spans="10:10" ht="14.25" customHeight="1">
      <c r="J422" s="6"/>
    </row>
    <row r="423" spans="10:10" ht="14.25" customHeight="1">
      <c r="J423" s="6"/>
    </row>
    <row r="424" spans="10:10" ht="14.25" customHeight="1">
      <c r="J424" s="6"/>
    </row>
    <row r="425" spans="10:10" ht="14.25" customHeight="1">
      <c r="J425" s="6"/>
    </row>
    <row r="426" spans="10:10" ht="14.25" customHeight="1">
      <c r="J426" s="6"/>
    </row>
    <row r="427" spans="10:10" ht="14.25" customHeight="1">
      <c r="J427" s="6"/>
    </row>
    <row r="428" spans="10:10" ht="14.25" customHeight="1">
      <c r="J428" s="6"/>
    </row>
    <row r="429" spans="10:10" ht="14.25" customHeight="1">
      <c r="J429" s="6"/>
    </row>
    <row r="430" spans="10:10" ht="14.25" customHeight="1">
      <c r="J430" s="6"/>
    </row>
    <row r="431" spans="10:10" ht="14.25" customHeight="1">
      <c r="J431" s="6"/>
    </row>
    <row r="432" spans="10:10" ht="14.25" customHeight="1">
      <c r="J432" s="6"/>
    </row>
    <row r="433" spans="10:10" ht="14.25" customHeight="1">
      <c r="J433" s="6"/>
    </row>
    <row r="434" spans="10:10" ht="14.25" customHeight="1">
      <c r="J434" s="6"/>
    </row>
    <row r="435" spans="10:10" ht="14.25" customHeight="1">
      <c r="J435" s="6"/>
    </row>
    <row r="436" spans="10:10" ht="14.25" customHeight="1">
      <c r="J436" s="6"/>
    </row>
    <row r="437" spans="10:10" ht="14.25" customHeight="1">
      <c r="J437" s="6"/>
    </row>
    <row r="438" spans="10:10" ht="14.25" customHeight="1">
      <c r="J438" s="6"/>
    </row>
    <row r="439" spans="10:10" ht="14.25" customHeight="1">
      <c r="J439" s="6"/>
    </row>
    <row r="440" spans="10:10" ht="14.25" customHeight="1">
      <c r="J440" s="6"/>
    </row>
    <row r="441" spans="10:10" ht="14.25" customHeight="1">
      <c r="J441" s="6"/>
    </row>
    <row r="442" spans="10:10" ht="14.25" customHeight="1">
      <c r="J442" s="6"/>
    </row>
    <row r="443" spans="10:10" ht="14.25" customHeight="1">
      <c r="J443" s="6"/>
    </row>
    <row r="444" spans="10:10" ht="14.25" customHeight="1">
      <c r="J444" s="6"/>
    </row>
    <row r="445" spans="10:10" ht="14.25" customHeight="1">
      <c r="J445" s="6"/>
    </row>
    <row r="446" spans="10:10" ht="14.25" customHeight="1">
      <c r="J446" s="6"/>
    </row>
    <row r="447" spans="10:10" ht="14.25" customHeight="1">
      <c r="J447" s="6"/>
    </row>
    <row r="448" spans="10:10" ht="14.25" customHeight="1">
      <c r="J448" s="6"/>
    </row>
    <row r="449" spans="10:10" ht="14.25" customHeight="1">
      <c r="J449" s="6"/>
    </row>
    <row r="450" spans="10:10" ht="14.25" customHeight="1">
      <c r="J450" s="6"/>
    </row>
    <row r="451" spans="10:10" ht="14.25" customHeight="1">
      <c r="J451" s="6"/>
    </row>
    <row r="452" spans="10:10" ht="14.25" customHeight="1">
      <c r="J452" s="6"/>
    </row>
    <row r="453" spans="10:10" ht="14.25" customHeight="1">
      <c r="J453" s="6"/>
    </row>
    <row r="454" spans="10:10" ht="14.25" customHeight="1">
      <c r="J454" s="6"/>
    </row>
    <row r="455" spans="10:10" ht="14.25" customHeight="1">
      <c r="J455" s="6"/>
    </row>
    <row r="456" spans="10:10" ht="14.25" customHeight="1">
      <c r="J456" s="6"/>
    </row>
    <row r="457" spans="10:10" ht="14.25" customHeight="1">
      <c r="J457" s="6"/>
    </row>
    <row r="458" spans="10:10" ht="14.25" customHeight="1">
      <c r="J458" s="6"/>
    </row>
    <row r="459" spans="10:10" ht="14.25" customHeight="1">
      <c r="J459" s="6"/>
    </row>
    <row r="460" spans="10:10" ht="14.25" customHeight="1">
      <c r="J460" s="6"/>
    </row>
    <row r="461" spans="10:10" ht="14.25" customHeight="1">
      <c r="J461" s="6"/>
    </row>
    <row r="462" spans="10:10" ht="14.25" customHeight="1">
      <c r="J462" s="6"/>
    </row>
    <row r="463" spans="10:10" ht="14.25" customHeight="1">
      <c r="J463" s="6"/>
    </row>
    <row r="464" spans="10:10" ht="14.25" customHeight="1">
      <c r="J464" s="6"/>
    </row>
    <row r="465" spans="10:10" ht="14.25" customHeight="1">
      <c r="J465" s="6"/>
    </row>
    <row r="466" spans="10:10" ht="14.25" customHeight="1">
      <c r="J466" s="6"/>
    </row>
    <row r="467" spans="10:10" ht="14.25" customHeight="1">
      <c r="J467" s="6"/>
    </row>
    <row r="468" spans="10:10" ht="14.25" customHeight="1">
      <c r="J468" s="6"/>
    </row>
    <row r="469" spans="10:10" ht="14.25" customHeight="1">
      <c r="J469" s="6"/>
    </row>
    <row r="470" spans="10:10" ht="14.25" customHeight="1">
      <c r="J470" s="6"/>
    </row>
    <row r="471" spans="10:10" ht="14.25" customHeight="1">
      <c r="J471" s="6"/>
    </row>
    <row r="472" spans="10:10" ht="14.25" customHeight="1">
      <c r="J472" s="6"/>
    </row>
    <row r="473" spans="10:10" ht="14.25" customHeight="1">
      <c r="J473" s="6"/>
    </row>
    <row r="474" spans="10:10" ht="14.25" customHeight="1">
      <c r="J474" s="6"/>
    </row>
    <row r="475" spans="10:10" ht="14.25" customHeight="1">
      <c r="J475" s="6"/>
    </row>
    <row r="476" spans="10:10" ht="14.25" customHeight="1">
      <c r="J476" s="6"/>
    </row>
    <row r="477" spans="10:10" ht="14.25" customHeight="1">
      <c r="J477" s="6"/>
    </row>
    <row r="478" spans="10:10" ht="14.25" customHeight="1">
      <c r="J478" s="6"/>
    </row>
    <row r="479" spans="10:10" ht="14.25" customHeight="1">
      <c r="J479" s="6"/>
    </row>
    <row r="480" spans="10:10" ht="14.25" customHeight="1">
      <c r="J480" s="6"/>
    </row>
    <row r="481" spans="10:10" ht="14.25" customHeight="1">
      <c r="J481" s="6"/>
    </row>
    <row r="482" spans="10:10" ht="14.25" customHeight="1">
      <c r="J482" s="6"/>
    </row>
    <row r="483" spans="10:10" ht="14.25" customHeight="1">
      <c r="J483" s="6"/>
    </row>
    <row r="484" spans="10:10" ht="14.25" customHeight="1">
      <c r="J484" s="6"/>
    </row>
    <row r="485" spans="10:10" ht="14.25" customHeight="1">
      <c r="J485" s="6"/>
    </row>
    <row r="486" spans="10:10" ht="14.25" customHeight="1">
      <c r="J486" s="6"/>
    </row>
    <row r="487" spans="10:10" ht="14.25" customHeight="1">
      <c r="J487" s="6"/>
    </row>
    <row r="488" spans="10:10" ht="14.25" customHeight="1">
      <c r="J488" s="6"/>
    </row>
    <row r="489" spans="10:10" ht="14.25" customHeight="1">
      <c r="J489" s="6"/>
    </row>
    <row r="490" spans="10:10" ht="14.25" customHeight="1">
      <c r="J490" s="6"/>
    </row>
    <row r="491" spans="10:10" ht="14.25" customHeight="1">
      <c r="J491" s="6"/>
    </row>
    <row r="492" spans="10:10" ht="14.25" customHeight="1">
      <c r="J492" s="6"/>
    </row>
    <row r="493" spans="10:10" ht="14.25" customHeight="1">
      <c r="J493" s="6"/>
    </row>
    <row r="494" spans="10:10" ht="14.25" customHeight="1">
      <c r="J494" s="6"/>
    </row>
    <row r="495" spans="10:10" ht="14.25" customHeight="1">
      <c r="J495" s="6"/>
    </row>
    <row r="496" spans="10:10" ht="14.25" customHeight="1">
      <c r="J496" s="6"/>
    </row>
    <row r="497" spans="10:10" ht="14.25" customHeight="1">
      <c r="J497" s="6"/>
    </row>
    <row r="498" spans="10:10" ht="14.25" customHeight="1">
      <c r="J498" s="6"/>
    </row>
    <row r="499" spans="10:10" ht="14.25" customHeight="1">
      <c r="J499" s="6"/>
    </row>
    <row r="500" spans="10:10" ht="14.25" customHeight="1">
      <c r="J500" s="6"/>
    </row>
    <row r="501" spans="10:10" ht="14.25" customHeight="1">
      <c r="J501" s="6"/>
    </row>
    <row r="502" spans="10:10" ht="14.25" customHeight="1"/>
    <row r="503" spans="10:10" ht="14.25" customHeight="1"/>
    <row r="504" spans="10:10" ht="14.25" customHeight="1"/>
    <row r="505" spans="10:10" ht="14.25" customHeight="1"/>
    <row r="506" spans="10:10" ht="14.25" customHeight="1"/>
    <row r="507" spans="10:10" ht="14.25" customHeight="1"/>
    <row r="508" spans="10:10" ht="14.25" customHeight="1"/>
    <row r="509" spans="10:10" ht="14.25" customHeight="1"/>
    <row r="510" spans="10:10" ht="14.25" customHeight="1"/>
    <row r="511" spans="10:10" ht="14.25" customHeight="1"/>
    <row r="512" spans="10:10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Z301" xr:uid="{00000000-0009-0000-0000-000000000000}">
    <sortState xmlns:xlrd2="http://schemas.microsoft.com/office/spreadsheetml/2017/richdata2" ref="A2:Z301">
      <sortCondition ref="M1:M301"/>
    </sortState>
  </autoFilter>
  <mergeCells count="2">
    <mergeCell ref="S10:AB10"/>
    <mergeCell ref="S11:AB1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E9E3-598F-4B76-BFCC-2D0F05900EBD}">
  <dimension ref="A2:F94"/>
  <sheetViews>
    <sheetView topLeftCell="B26" workbookViewId="0">
      <selection activeCell="A3" sqref="A3"/>
    </sheetView>
  </sheetViews>
  <sheetFormatPr defaultRowHeight="15"/>
  <cols>
    <col min="1" max="1" width="28.28515625" bestFit="1" customWidth="1"/>
    <col min="2" max="2" width="11.85546875" bestFit="1" customWidth="1"/>
    <col min="3" max="3" width="8.42578125" bestFit="1" customWidth="1"/>
    <col min="4" max="4" width="7.42578125" bestFit="1" customWidth="1"/>
    <col min="5" max="5" width="8.7109375" bestFit="1" customWidth="1"/>
    <col min="6" max="6" width="11.42578125" bestFit="1" customWidth="1"/>
  </cols>
  <sheetData>
    <row r="2" spans="1:6">
      <c r="A2" s="39" t="s">
        <v>602</v>
      </c>
      <c r="B2" s="39"/>
      <c r="C2" s="39"/>
      <c r="D2" s="39"/>
      <c r="E2" s="39"/>
      <c r="F2" s="39"/>
    </row>
    <row r="3" spans="1:6">
      <c r="A3" s="19" t="s">
        <v>581</v>
      </c>
      <c r="B3" s="19" t="s">
        <v>1</v>
      </c>
    </row>
    <row r="4" spans="1:6">
      <c r="A4" s="19" t="s">
        <v>505</v>
      </c>
      <c r="B4" t="s">
        <v>44</v>
      </c>
      <c r="C4" t="s">
        <v>14</v>
      </c>
      <c r="D4" t="s">
        <v>62</v>
      </c>
      <c r="E4" t="s">
        <v>20</v>
      </c>
      <c r="F4" t="s">
        <v>572</v>
      </c>
    </row>
    <row r="5" spans="1:6">
      <c r="A5" s="26" t="s">
        <v>90</v>
      </c>
      <c r="B5" s="27">
        <v>3.7769999999999997</v>
      </c>
      <c r="C5" s="27"/>
      <c r="D5" s="27">
        <v>7.161509775769197</v>
      </c>
      <c r="E5" s="27"/>
      <c r="F5" s="27">
        <v>10.938509775769196</v>
      </c>
    </row>
    <row r="6" spans="1:6">
      <c r="A6" s="26" t="s">
        <v>333</v>
      </c>
      <c r="B6" s="27">
        <v>5.6720360368859222</v>
      </c>
      <c r="C6" s="27"/>
      <c r="D6" s="27">
        <v>5.8166347339363584</v>
      </c>
      <c r="E6" s="27"/>
      <c r="F6" s="27">
        <v>11.488670770822281</v>
      </c>
    </row>
    <row r="7" spans="1:6">
      <c r="A7" s="26" t="s">
        <v>30</v>
      </c>
      <c r="B7" s="27">
        <v>8.2890924181160788</v>
      </c>
      <c r="C7" s="27">
        <v>4.1076988827156731</v>
      </c>
      <c r="D7" s="27">
        <v>3.8505677891413099</v>
      </c>
      <c r="E7" s="27"/>
      <c r="F7" s="27">
        <v>16.24735908997306</v>
      </c>
    </row>
    <row r="8" spans="1:6">
      <c r="A8" s="26" t="s">
        <v>76</v>
      </c>
      <c r="B8" s="27">
        <v>2.642683256694617</v>
      </c>
      <c r="C8" s="27"/>
      <c r="D8" s="27">
        <v>8.1526992002405372</v>
      </c>
      <c r="E8" s="27"/>
      <c r="F8" s="27">
        <v>10.795382456935155</v>
      </c>
    </row>
    <row r="9" spans="1:6">
      <c r="A9" s="26" t="s">
        <v>345</v>
      </c>
      <c r="B9" s="27">
        <v>2.6922950307308042</v>
      </c>
      <c r="C9" s="27">
        <v>2.656993037721294</v>
      </c>
      <c r="D9" s="27">
        <v>4.0250166460572627</v>
      </c>
      <c r="E9" s="27"/>
      <c r="F9" s="27">
        <v>9.3743047145093605</v>
      </c>
    </row>
    <row r="10" spans="1:6">
      <c r="A10" s="26" t="s">
        <v>523</v>
      </c>
      <c r="B10" s="27"/>
      <c r="C10" s="27">
        <v>4.8391598861549383</v>
      </c>
      <c r="D10" s="27">
        <v>3.1831596565339124</v>
      </c>
      <c r="E10" s="27"/>
      <c r="F10" s="27">
        <v>8.0223195426888516</v>
      </c>
    </row>
    <row r="11" spans="1:6">
      <c r="A11" s="26" t="s">
        <v>259</v>
      </c>
      <c r="B11" s="27">
        <v>2.0147476831066911</v>
      </c>
      <c r="C11" s="27"/>
      <c r="D11" s="27">
        <v>2.873977776517024</v>
      </c>
      <c r="E11" s="27"/>
      <c r="F11" s="27">
        <v>4.8887254596237151</v>
      </c>
    </row>
    <row r="12" spans="1:6">
      <c r="A12" s="26" t="s">
        <v>522</v>
      </c>
      <c r="B12" s="27"/>
      <c r="C12" s="27">
        <v>5.8191036421285594</v>
      </c>
      <c r="D12" s="27">
        <v>2.9236958116252163</v>
      </c>
      <c r="E12" s="27"/>
      <c r="F12" s="27">
        <v>8.7427994537537757</v>
      </c>
    </row>
    <row r="13" spans="1:6">
      <c r="A13" s="26" t="s">
        <v>57</v>
      </c>
      <c r="B13" s="27"/>
      <c r="C13" s="27">
        <v>2.5934211299327354</v>
      </c>
      <c r="D13" s="27">
        <v>2.0112234193129401</v>
      </c>
      <c r="E13" s="27"/>
      <c r="F13" s="27">
        <v>4.6046445492456751</v>
      </c>
    </row>
    <row r="14" spans="1:6">
      <c r="A14" s="26" t="s">
        <v>69</v>
      </c>
      <c r="B14" s="27">
        <v>1.0489578980359382</v>
      </c>
      <c r="C14" s="27">
        <v>1.5360140957101251</v>
      </c>
      <c r="D14" s="27">
        <v>1.1298248561468354</v>
      </c>
      <c r="E14" s="27"/>
      <c r="F14" s="27">
        <v>3.7147968498928989</v>
      </c>
    </row>
    <row r="15" spans="1:6">
      <c r="A15" s="26" t="s">
        <v>21</v>
      </c>
      <c r="B15" s="27">
        <v>2.1008648095181162</v>
      </c>
      <c r="C15" s="27"/>
      <c r="D15" s="27">
        <v>3.8684332470851284</v>
      </c>
      <c r="E15" s="27"/>
      <c r="F15" s="27">
        <v>5.969298056603245</v>
      </c>
    </row>
    <row r="16" spans="1:6">
      <c r="A16" s="26" t="s">
        <v>39</v>
      </c>
      <c r="B16" s="27">
        <v>3.9194685517374062</v>
      </c>
      <c r="C16" s="27"/>
      <c r="D16" s="27"/>
      <c r="E16" s="27"/>
      <c r="F16" s="27">
        <v>3.9194685517374062</v>
      </c>
    </row>
    <row r="17" spans="1:6">
      <c r="A17" s="26" t="s">
        <v>98</v>
      </c>
      <c r="B17" s="27">
        <v>2.179716009300404</v>
      </c>
      <c r="C17" s="27">
        <v>0.40853026310104978</v>
      </c>
      <c r="D17" s="27">
        <v>1.5470668118806556</v>
      </c>
      <c r="E17" s="27"/>
      <c r="F17" s="27">
        <v>4.1353130842821093</v>
      </c>
    </row>
    <row r="18" spans="1:6">
      <c r="A18" s="26" t="s">
        <v>181</v>
      </c>
      <c r="B18" s="27">
        <v>1.8841509178181095</v>
      </c>
      <c r="C18" s="27">
        <v>2.030897884933887</v>
      </c>
      <c r="D18" s="27">
        <v>1.6542549454519908</v>
      </c>
      <c r="E18" s="27"/>
      <c r="F18" s="27">
        <v>5.5693037482039873</v>
      </c>
    </row>
    <row r="19" spans="1:6">
      <c r="A19" s="26" t="s">
        <v>136</v>
      </c>
      <c r="B19" s="27">
        <v>1.8003285200389967</v>
      </c>
      <c r="C19" s="27">
        <v>1.4155088524226223</v>
      </c>
      <c r="D19" s="27"/>
      <c r="E19" s="27"/>
      <c r="F19" s="27">
        <v>3.2158373724616189</v>
      </c>
    </row>
    <row r="20" spans="1:6">
      <c r="A20" s="26" t="s">
        <v>526</v>
      </c>
      <c r="B20" s="27"/>
      <c r="C20" s="27">
        <v>0.49330482828550215</v>
      </c>
      <c r="D20" s="27">
        <v>0.87212144374427847</v>
      </c>
      <c r="E20" s="27"/>
      <c r="F20" s="27">
        <v>1.3654262720297807</v>
      </c>
    </row>
    <row r="21" spans="1:6">
      <c r="A21" s="26" t="s">
        <v>512</v>
      </c>
      <c r="B21" s="27">
        <v>2.822774539959692</v>
      </c>
      <c r="C21" s="27"/>
      <c r="D21" s="27">
        <v>1.0854715497511456</v>
      </c>
      <c r="E21" s="27"/>
      <c r="F21" s="27">
        <v>3.9082460897108375</v>
      </c>
    </row>
    <row r="22" spans="1:6">
      <c r="A22" s="26" t="s">
        <v>513</v>
      </c>
      <c r="B22" s="27">
        <v>2.0890301434062364</v>
      </c>
      <c r="C22" s="27"/>
      <c r="D22" s="27">
        <v>1.767142867841101</v>
      </c>
      <c r="E22" s="27"/>
      <c r="F22" s="27">
        <v>3.8561730112473374</v>
      </c>
    </row>
    <row r="23" spans="1:6">
      <c r="A23" s="26" t="s">
        <v>516</v>
      </c>
      <c r="B23" s="27">
        <v>0.95555705717045403</v>
      </c>
      <c r="C23" s="27">
        <v>0.49368567659000029</v>
      </c>
      <c r="D23" s="27"/>
      <c r="E23" s="27"/>
      <c r="F23" s="27">
        <v>1.4492427337604543</v>
      </c>
    </row>
    <row r="24" spans="1:6">
      <c r="A24" s="26" t="s">
        <v>527</v>
      </c>
      <c r="B24" s="27"/>
      <c r="C24" s="27"/>
      <c r="D24" s="27">
        <v>3.146623474532154</v>
      </c>
      <c r="E24" s="27"/>
      <c r="F24" s="27">
        <v>3.146623474532154</v>
      </c>
    </row>
    <row r="25" spans="1:6">
      <c r="A25" s="26" t="s">
        <v>131</v>
      </c>
      <c r="B25" s="27">
        <v>4.4076114282818493</v>
      </c>
      <c r="C25" s="27"/>
      <c r="D25" s="27"/>
      <c r="E25" s="27"/>
      <c r="F25" s="27">
        <v>4.4076114282818493</v>
      </c>
    </row>
    <row r="26" spans="1:6">
      <c r="A26" s="26" t="s">
        <v>354</v>
      </c>
      <c r="B26" s="27"/>
      <c r="C26" s="27">
        <v>2.5613099602666494</v>
      </c>
      <c r="D26" s="27"/>
      <c r="E26" s="27"/>
      <c r="F26" s="27">
        <v>2.5613099602666494</v>
      </c>
    </row>
    <row r="27" spans="1:6">
      <c r="A27" s="26" t="s">
        <v>235</v>
      </c>
      <c r="B27" s="27"/>
      <c r="C27" s="27">
        <v>0.82399626517273583</v>
      </c>
      <c r="D27" s="27">
        <v>1.4673861356899378</v>
      </c>
      <c r="E27" s="27"/>
      <c r="F27" s="27">
        <v>2.2913824008626738</v>
      </c>
    </row>
    <row r="28" spans="1:6">
      <c r="A28" s="26" t="s">
        <v>525</v>
      </c>
      <c r="B28" s="27"/>
      <c r="C28" s="27">
        <v>0.79276411938553482</v>
      </c>
      <c r="D28" s="27">
        <v>1.5894099135776132</v>
      </c>
      <c r="E28" s="27"/>
      <c r="F28" s="27">
        <v>2.3821740329631478</v>
      </c>
    </row>
    <row r="29" spans="1:6">
      <c r="A29" s="26" t="s">
        <v>499</v>
      </c>
      <c r="B29" s="27">
        <v>0.83173302743792354</v>
      </c>
      <c r="C29" s="27">
        <v>1.5083483793180827</v>
      </c>
      <c r="D29" s="27">
        <v>1.0115222268699853</v>
      </c>
      <c r="E29" s="27"/>
      <c r="F29" s="27">
        <v>3.3516036336259916</v>
      </c>
    </row>
    <row r="30" spans="1:6">
      <c r="A30" s="26" t="s">
        <v>261</v>
      </c>
      <c r="B30" s="27">
        <v>2.2341736690728773</v>
      </c>
      <c r="C30" s="27">
        <v>1.3518271958313246</v>
      </c>
      <c r="D30" s="27"/>
      <c r="E30" s="27"/>
      <c r="F30" s="27">
        <v>3.5860008649042019</v>
      </c>
    </row>
    <row r="31" spans="1:6">
      <c r="A31" s="26" t="s">
        <v>519</v>
      </c>
      <c r="B31" s="27">
        <v>1.3204362190307877</v>
      </c>
      <c r="C31" s="27">
        <v>0.79775058553888767</v>
      </c>
      <c r="D31" s="27"/>
      <c r="E31" s="27"/>
      <c r="F31" s="27">
        <v>2.1181868045696755</v>
      </c>
    </row>
    <row r="32" spans="1:6">
      <c r="A32" s="26" t="s">
        <v>369</v>
      </c>
      <c r="B32" s="27">
        <v>0.49389445984842106</v>
      </c>
      <c r="C32" s="27">
        <v>0.13384898336831177</v>
      </c>
      <c r="D32" s="27">
        <v>0.95690195428711389</v>
      </c>
      <c r="E32" s="27"/>
      <c r="F32" s="27">
        <v>1.5846453975038468</v>
      </c>
    </row>
    <row r="33" spans="1:6">
      <c r="A33" s="26" t="s">
        <v>114</v>
      </c>
      <c r="B33" s="27">
        <v>0.6755210343173057</v>
      </c>
      <c r="C33" s="27">
        <v>1.1929895251406417</v>
      </c>
      <c r="D33" s="27">
        <v>0.86756829248734246</v>
      </c>
      <c r="E33" s="27"/>
      <c r="F33" s="27">
        <v>2.7360788519452899</v>
      </c>
    </row>
    <row r="34" spans="1:6">
      <c r="A34" s="26" t="s">
        <v>297</v>
      </c>
      <c r="B34" s="27">
        <v>0.59020861151850801</v>
      </c>
      <c r="C34" s="27">
        <v>1.0270964740236046</v>
      </c>
      <c r="D34" s="27"/>
      <c r="E34" s="27"/>
      <c r="F34" s="27">
        <v>1.6173050855421125</v>
      </c>
    </row>
    <row r="35" spans="1:6">
      <c r="A35" s="26" t="s">
        <v>514</v>
      </c>
      <c r="B35" s="27">
        <v>0.55671225348242404</v>
      </c>
      <c r="C35" s="27">
        <v>2.1957273099359429</v>
      </c>
      <c r="D35" s="27">
        <v>0.40011175580058084</v>
      </c>
      <c r="E35" s="27"/>
      <c r="F35" s="27">
        <v>3.1525513192189476</v>
      </c>
    </row>
    <row r="36" spans="1:6">
      <c r="A36" s="26" t="s">
        <v>185</v>
      </c>
      <c r="B36" s="27"/>
      <c r="C36" s="27">
        <v>1.1977520469471172</v>
      </c>
      <c r="D36" s="27">
        <v>1.1729257848755981</v>
      </c>
      <c r="E36" s="27"/>
      <c r="F36" s="27">
        <v>2.3706778318227153</v>
      </c>
    </row>
    <row r="37" spans="1:6">
      <c r="A37" s="26" t="s">
        <v>515</v>
      </c>
      <c r="B37" s="27">
        <v>0.36164640174839124</v>
      </c>
      <c r="C37" s="27">
        <v>0.93425921410179946</v>
      </c>
      <c r="D37" s="27">
        <v>0.90684528695987088</v>
      </c>
      <c r="E37" s="27"/>
      <c r="F37" s="27">
        <v>2.2027509028100614</v>
      </c>
    </row>
    <row r="38" spans="1:6">
      <c r="A38" s="26" t="s">
        <v>528</v>
      </c>
      <c r="B38" s="27"/>
      <c r="C38" s="27"/>
      <c r="D38" s="27">
        <v>2.4435265953037346</v>
      </c>
      <c r="E38" s="27"/>
      <c r="F38" s="27">
        <v>2.4435265953037346</v>
      </c>
    </row>
    <row r="39" spans="1:6">
      <c r="A39" s="26" t="s">
        <v>256</v>
      </c>
      <c r="B39" s="27">
        <v>0.42102659760120009</v>
      </c>
      <c r="C39" s="27">
        <v>0.8579359667792068</v>
      </c>
      <c r="D39" s="27">
        <v>1.3765859151032891</v>
      </c>
      <c r="E39" s="27"/>
      <c r="F39" s="27">
        <v>2.6555484794836959</v>
      </c>
    </row>
    <row r="40" spans="1:6">
      <c r="A40" s="26" t="s">
        <v>529</v>
      </c>
      <c r="B40" s="27"/>
      <c r="C40" s="27"/>
      <c r="D40" s="27">
        <v>1.8260235119848793</v>
      </c>
      <c r="E40" s="27"/>
      <c r="F40" s="27">
        <v>1.8260235119848793</v>
      </c>
    </row>
    <row r="41" spans="1:6">
      <c r="A41" s="26" t="s">
        <v>245</v>
      </c>
      <c r="B41" s="27"/>
      <c r="C41" s="27">
        <v>1.3996440338592655</v>
      </c>
      <c r="D41" s="27">
        <v>0.11290842130781159</v>
      </c>
      <c r="E41" s="27"/>
      <c r="F41" s="27">
        <v>1.512552455167077</v>
      </c>
    </row>
    <row r="42" spans="1:6">
      <c r="A42" s="26" t="s">
        <v>86</v>
      </c>
      <c r="B42" s="27">
        <v>1.2460796592376806</v>
      </c>
      <c r="C42" s="27">
        <v>0.55909089912689314</v>
      </c>
      <c r="D42" s="27">
        <v>0.14158957900698507</v>
      </c>
      <c r="E42" s="27"/>
      <c r="F42" s="27">
        <v>1.9467601373715586</v>
      </c>
    </row>
    <row r="43" spans="1:6">
      <c r="A43" s="26" t="s">
        <v>367</v>
      </c>
      <c r="B43" s="27">
        <v>1.607622413163921</v>
      </c>
      <c r="C43" s="27"/>
      <c r="D43" s="27"/>
      <c r="E43" s="27">
        <v>0.95718007649765269</v>
      </c>
      <c r="F43" s="27">
        <v>2.5648024896615738</v>
      </c>
    </row>
    <row r="44" spans="1:6">
      <c r="A44" s="26" t="s">
        <v>231</v>
      </c>
      <c r="B44" s="27"/>
      <c r="C44" s="27">
        <v>0.76934224964286457</v>
      </c>
      <c r="D44" s="27">
        <v>0.64892204201554116</v>
      </c>
      <c r="E44" s="27"/>
      <c r="F44" s="27">
        <v>1.4182642916584056</v>
      </c>
    </row>
    <row r="45" spans="1:6">
      <c r="A45" s="26" t="s">
        <v>521</v>
      </c>
      <c r="B45" s="27">
        <v>0.30288284989089542</v>
      </c>
      <c r="C45" s="27">
        <v>0.25476106728305109</v>
      </c>
      <c r="D45" s="27">
        <v>0.89030372186352424</v>
      </c>
      <c r="E45" s="27">
        <v>0.35854946318438319</v>
      </c>
      <c r="F45" s="27">
        <v>1.8064971022218539</v>
      </c>
    </row>
    <row r="46" spans="1:6">
      <c r="A46" s="26" t="s">
        <v>517</v>
      </c>
      <c r="B46" s="27">
        <v>0.82499746292386578</v>
      </c>
      <c r="C46" s="27">
        <v>1.9550134393662595</v>
      </c>
      <c r="D46" s="27"/>
      <c r="E46" s="27"/>
      <c r="F46" s="27">
        <v>2.7800109022901252</v>
      </c>
    </row>
    <row r="47" spans="1:6">
      <c r="A47" s="26" t="s">
        <v>406</v>
      </c>
      <c r="B47" s="27"/>
      <c r="C47" s="27">
        <v>2.0532267735346532</v>
      </c>
      <c r="D47" s="27"/>
      <c r="E47" s="27"/>
      <c r="F47" s="27">
        <v>2.0532267735346532</v>
      </c>
    </row>
    <row r="48" spans="1:6">
      <c r="A48" s="26" t="s">
        <v>520</v>
      </c>
      <c r="B48" s="27">
        <v>0.57959335775418919</v>
      </c>
      <c r="C48" s="27">
        <v>0.15587030088601936</v>
      </c>
      <c r="D48" s="27">
        <v>0.59675306202254763</v>
      </c>
      <c r="E48" s="27"/>
      <c r="F48" s="27">
        <v>1.3322167206627562</v>
      </c>
    </row>
    <row r="49" spans="1:6">
      <c r="A49" s="26" t="s">
        <v>111</v>
      </c>
      <c r="B49" s="27">
        <v>0.13122235697453735</v>
      </c>
      <c r="C49" s="27">
        <v>0.42326681465162957</v>
      </c>
      <c r="D49" s="27">
        <v>0.77197612525333514</v>
      </c>
      <c r="E49" s="27"/>
      <c r="F49" s="27">
        <v>1.3264652968795021</v>
      </c>
    </row>
    <row r="50" spans="1:6">
      <c r="A50" s="26" t="s">
        <v>524</v>
      </c>
      <c r="B50" s="27"/>
      <c r="C50" s="27">
        <v>2.2793271986925188</v>
      </c>
      <c r="D50" s="27"/>
      <c r="E50" s="27"/>
      <c r="F50" s="27">
        <v>2.2793271986925188</v>
      </c>
    </row>
    <row r="51" spans="1:6">
      <c r="A51" s="26" t="s">
        <v>518</v>
      </c>
      <c r="B51" s="27">
        <v>1.342054334111102</v>
      </c>
      <c r="C51" s="27"/>
      <c r="D51" s="27">
        <v>0.62778011507819675</v>
      </c>
      <c r="E51" s="27"/>
      <c r="F51" s="27">
        <v>1.9698344491892987</v>
      </c>
    </row>
    <row r="52" spans="1:6">
      <c r="A52" s="26" t="s">
        <v>203</v>
      </c>
      <c r="B52" s="27"/>
      <c r="C52" s="27">
        <v>0.13328244153687349</v>
      </c>
      <c r="D52" s="27">
        <v>1.3968730071139484</v>
      </c>
      <c r="E52" s="27"/>
      <c r="F52" s="27">
        <v>1.5301554486508218</v>
      </c>
    </row>
    <row r="53" spans="1:6">
      <c r="A53" s="26" t="s">
        <v>205</v>
      </c>
      <c r="B53" s="27">
        <v>0.68608993389951478</v>
      </c>
      <c r="C53" s="27">
        <v>0.25602502356985496</v>
      </c>
      <c r="D53" s="27"/>
      <c r="E53" s="27"/>
      <c r="F53" s="27">
        <v>0.94211495746936968</v>
      </c>
    </row>
    <row r="54" spans="1:6">
      <c r="A54" s="26" t="s">
        <v>318</v>
      </c>
      <c r="B54" s="27">
        <v>0.24015184788499425</v>
      </c>
      <c r="C54" s="27">
        <v>0.69518301910098546</v>
      </c>
      <c r="D54" s="27">
        <v>0.63072431511787486</v>
      </c>
      <c r="E54" s="27"/>
      <c r="F54" s="27">
        <v>1.5660591821038545</v>
      </c>
    </row>
    <row r="55" spans="1:6">
      <c r="A55" s="28">
        <v>45446</v>
      </c>
      <c r="B55" s="27"/>
      <c r="C55" s="27"/>
      <c r="D55" s="27"/>
      <c r="E55" s="27">
        <v>7.3042649425855828</v>
      </c>
      <c r="F55" s="27">
        <v>7.3042649425855828</v>
      </c>
    </row>
    <row r="56" spans="1:6">
      <c r="A56" s="28">
        <v>45447</v>
      </c>
      <c r="B56" s="27"/>
      <c r="C56" s="27"/>
      <c r="D56" s="27"/>
      <c r="E56" s="27">
        <v>5.563243018048178</v>
      </c>
      <c r="F56" s="27">
        <v>5.563243018048178</v>
      </c>
    </row>
    <row r="57" spans="1:6">
      <c r="A57" s="28">
        <v>45448</v>
      </c>
      <c r="B57" s="27"/>
      <c r="C57" s="27"/>
      <c r="D57" s="27"/>
      <c r="E57" s="27">
        <v>3.2412446779276309</v>
      </c>
      <c r="F57" s="27">
        <v>3.2412446779276309</v>
      </c>
    </row>
    <row r="58" spans="1:6">
      <c r="A58" s="28">
        <v>45449</v>
      </c>
      <c r="B58" s="27"/>
      <c r="C58" s="27"/>
      <c r="D58" s="27"/>
      <c r="E58" s="27">
        <v>0.81242372545636943</v>
      </c>
      <c r="F58" s="27">
        <v>0.81242372545636943</v>
      </c>
    </row>
    <row r="59" spans="1:6">
      <c r="A59" s="28">
        <v>45450</v>
      </c>
      <c r="B59" s="27"/>
      <c r="C59" s="27"/>
      <c r="D59" s="27"/>
      <c r="E59" s="27">
        <v>1.1606360757361365</v>
      </c>
      <c r="F59" s="27">
        <v>1.1606360757361365</v>
      </c>
    </row>
    <row r="60" spans="1:6">
      <c r="A60" s="28">
        <v>45451</v>
      </c>
      <c r="B60" s="27"/>
      <c r="C60" s="27"/>
      <c r="D60" s="27"/>
      <c r="E60" s="27">
        <v>1.3743718397611502</v>
      </c>
      <c r="F60" s="27">
        <v>1.3743718397611502</v>
      </c>
    </row>
    <row r="61" spans="1:6">
      <c r="A61" s="28">
        <v>45452</v>
      </c>
      <c r="B61" s="27"/>
      <c r="C61" s="27"/>
      <c r="D61" s="27"/>
      <c r="E61" s="27">
        <v>0.46521180084291736</v>
      </c>
      <c r="F61" s="27">
        <v>0.46521180084291736</v>
      </c>
    </row>
    <row r="62" spans="1:6">
      <c r="A62" s="28">
        <v>45453</v>
      </c>
      <c r="B62" s="27"/>
      <c r="C62" s="27"/>
      <c r="D62" s="27"/>
      <c r="E62" s="27">
        <v>2.1116822598272944</v>
      </c>
      <c r="F62" s="27">
        <v>2.1116822598272944</v>
      </c>
    </row>
    <row r="63" spans="1:6">
      <c r="A63" s="28">
        <v>45454</v>
      </c>
      <c r="B63" s="27"/>
      <c r="C63" s="27"/>
      <c r="D63" s="27"/>
      <c r="E63" s="27">
        <v>0.83103714317204891</v>
      </c>
      <c r="F63" s="27">
        <v>0.83103714317204891</v>
      </c>
    </row>
    <row r="64" spans="1:6">
      <c r="A64" s="28">
        <v>45455</v>
      </c>
      <c r="B64" s="27"/>
      <c r="C64" s="27"/>
      <c r="D64" s="27"/>
      <c r="E64" s="27">
        <v>1.2582840584885981</v>
      </c>
      <c r="F64" s="27">
        <v>1.2582840584885981</v>
      </c>
    </row>
    <row r="65" spans="1:6">
      <c r="A65" s="28">
        <v>45456</v>
      </c>
      <c r="B65" s="27"/>
      <c r="C65" s="27"/>
      <c r="D65" s="27"/>
      <c r="E65" s="27">
        <v>1.1901769418245007</v>
      </c>
      <c r="F65" s="27">
        <v>1.1901769418245007</v>
      </c>
    </row>
    <row r="66" spans="1:6">
      <c r="A66" s="28">
        <v>45457</v>
      </c>
      <c r="B66" s="27"/>
      <c r="C66" s="27"/>
      <c r="D66" s="27"/>
      <c r="E66" s="27">
        <v>0.12246041445693515</v>
      </c>
      <c r="F66" s="27">
        <v>0.12246041445693515</v>
      </c>
    </row>
    <row r="67" spans="1:6">
      <c r="A67" s="28">
        <v>45458</v>
      </c>
      <c r="B67" s="27"/>
      <c r="C67" s="27"/>
      <c r="D67" s="27"/>
      <c r="E67" s="27">
        <v>0.51214672601490852</v>
      </c>
      <c r="F67" s="27">
        <v>0.51214672601490852</v>
      </c>
    </row>
    <row r="68" spans="1:6">
      <c r="A68" s="28">
        <v>45459</v>
      </c>
      <c r="B68" s="27"/>
      <c r="C68" s="27"/>
      <c r="D68" s="27"/>
      <c r="E68" s="27">
        <v>0.56926683531685662</v>
      </c>
      <c r="F68" s="27">
        <v>0.56926683531685662</v>
      </c>
    </row>
    <row r="69" spans="1:6">
      <c r="A69" s="28">
        <v>45460</v>
      </c>
      <c r="B69" s="27"/>
      <c r="C69" s="27"/>
      <c r="D69" s="27"/>
      <c r="E69" s="27">
        <v>6.5958837528910932</v>
      </c>
      <c r="F69" s="27">
        <v>6.5958837528910932</v>
      </c>
    </row>
    <row r="70" spans="1:6">
      <c r="A70" s="28">
        <v>45461</v>
      </c>
      <c r="B70" s="27"/>
      <c r="C70" s="27"/>
      <c r="D70" s="27"/>
      <c r="E70" s="27">
        <v>0.67367300672511499</v>
      </c>
      <c r="F70" s="27">
        <v>0.67367300672511499</v>
      </c>
    </row>
    <row r="71" spans="1:6">
      <c r="A71" s="28">
        <v>45462</v>
      </c>
      <c r="B71" s="27"/>
      <c r="C71" s="27"/>
      <c r="D71" s="27"/>
      <c r="E71" s="27">
        <v>0.68018710115333603</v>
      </c>
      <c r="F71" s="27">
        <v>0.68018710115333603</v>
      </c>
    </row>
    <row r="72" spans="1:6">
      <c r="A72" s="28">
        <v>45463</v>
      </c>
      <c r="B72" s="27"/>
      <c r="C72" s="27"/>
      <c r="D72" s="27"/>
      <c r="E72" s="27">
        <v>1.145256762332987</v>
      </c>
      <c r="F72" s="27">
        <v>1.145256762332987</v>
      </c>
    </row>
    <row r="73" spans="1:6">
      <c r="A73" s="28">
        <v>45464</v>
      </c>
      <c r="B73" s="27"/>
      <c r="C73" s="27"/>
      <c r="D73" s="27"/>
      <c r="E73" s="27">
        <v>0.71929976601091949</v>
      </c>
      <c r="F73" s="27">
        <v>0.71929976601091949</v>
      </c>
    </row>
    <row r="74" spans="1:6">
      <c r="A74" s="28">
        <v>45465</v>
      </c>
      <c r="B74" s="27"/>
      <c r="C74" s="27"/>
      <c r="D74" s="27"/>
      <c r="E74" s="27">
        <v>1.6472653889566635</v>
      </c>
      <c r="F74" s="27">
        <v>1.6472653889566635</v>
      </c>
    </row>
    <row r="75" spans="1:6">
      <c r="A75" s="28">
        <v>45466</v>
      </c>
      <c r="B75" s="27"/>
      <c r="C75" s="27"/>
      <c r="D75" s="27"/>
      <c r="E75" s="27">
        <v>0.98837899370933457</v>
      </c>
      <c r="F75" s="27">
        <v>0.98837899370933457</v>
      </c>
    </row>
    <row r="76" spans="1:6">
      <c r="A76" s="28">
        <v>45467</v>
      </c>
      <c r="B76" s="27"/>
      <c r="C76" s="27"/>
      <c r="D76" s="27"/>
      <c r="E76" s="27">
        <v>0.76687711178244133</v>
      </c>
      <c r="F76" s="27">
        <v>0.76687711178244133</v>
      </c>
    </row>
    <row r="77" spans="1:6">
      <c r="A77" s="28">
        <v>45468</v>
      </c>
      <c r="B77" s="27"/>
      <c r="C77" s="27"/>
      <c r="D77" s="27"/>
      <c r="E77" s="27">
        <v>0.43790546535943353</v>
      </c>
      <c r="F77" s="27">
        <v>0.43790546535943353</v>
      </c>
    </row>
    <row r="78" spans="1:6">
      <c r="A78" s="28">
        <v>45469</v>
      </c>
      <c r="B78" s="27"/>
      <c r="C78" s="27"/>
      <c r="D78" s="27"/>
      <c r="E78" s="27">
        <v>1.08937401207798</v>
      </c>
      <c r="F78" s="27">
        <v>1.08937401207798</v>
      </c>
    </row>
    <row r="79" spans="1:6">
      <c r="A79" s="28">
        <v>45470</v>
      </c>
      <c r="B79" s="27"/>
      <c r="C79" s="27"/>
      <c r="D79" s="27"/>
      <c r="E79" s="27">
        <v>0.98110671380338355</v>
      </c>
      <c r="F79" s="27">
        <v>0.98110671380338355</v>
      </c>
    </row>
    <row r="80" spans="1:6">
      <c r="A80" s="28">
        <v>45471</v>
      </c>
      <c r="B80" s="27"/>
      <c r="C80" s="27"/>
      <c r="D80" s="27"/>
      <c r="E80" s="27">
        <v>1.3795791265703257</v>
      </c>
      <c r="F80" s="27">
        <v>1.3795791265703257</v>
      </c>
    </row>
    <row r="81" spans="1:6">
      <c r="A81" s="28">
        <v>45472</v>
      </c>
      <c r="B81" s="27"/>
      <c r="C81" s="27"/>
      <c r="D81" s="27"/>
      <c r="E81" s="27">
        <v>0.60319805596597942</v>
      </c>
      <c r="F81" s="27">
        <v>0.60319805596597942</v>
      </c>
    </row>
    <row r="82" spans="1:6">
      <c r="A82" s="28">
        <v>45473</v>
      </c>
      <c r="B82" s="27"/>
      <c r="C82" s="27"/>
      <c r="D82" s="27"/>
      <c r="E82" s="27">
        <v>0.91275193396322052</v>
      </c>
      <c r="F82" s="27">
        <v>0.91275193396322052</v>
      </c>
    </row>
    <row r="83" spans="1:6">
      <c r="A83" s="28">
        <v>45474</v>
      </c>
      <c r="B83" s="27"/>
      <c r="C83" s="27"/>
      <c r="D83" s="27"/>
      <c r="E83" s="27">
        <v>0.45195289627203922</v>
      </c>
      <c r="F83" s="27">
        <v>0.45195289627203922</v>
      </c>
    </row>
    <row r="84" spans="1:6">
      <c r="A84" s="28">
        <v>45475</v>
      </c>
      <c r="B84" s="27"/>
      <c r="C84" s="27"/>
      <c r="D84" s="27"/>
      <c r="E84" s="27">
        <v>0.58032837980224639</v>
      </c>
      <c r="F84" s="27">
        <v>0.58032837980224639</v>
      </c>
    </row>
    <row r="85" spans="1:6">
      <c r="A85" s="28">
        <v>45476</v>
      </c>
      <c r="B85" s="27"/>
      <c r="C85" s="27"/>
      <c r="D85" s="27"/>
      <c r="E85" s="27">
        <v>0.14735462248723694</v>
      </c>
      <c r="F85" s="27">
        <v>0.14735462248723694</v>
      </c>
    </row>
    <row r="86" spans="1:6">
      <c r="A86" s="28">
        <v>45477</v>
      </c>
      <c r="B86" s="27"/>
      <c r="C86" s="27"/>
      <c r="D86" s="27"/>
      <c r="E86" s="27">
        <v>1.0556191541330575</v>
      </c>
      <c r="F86" s="27">
        <v>1.0556191541330575</v>
      </c>
    </row>
    <row r="87" spans="1:6">
      <c r="A87" s="28">
        <v>45478</v>
      </c>
      <c r="B87" s="27"/>
      <c r="C87" s="27"/>
      <c r="D87" s="27"/>
      <c r="E87" s="27">
        <v>2.1667684542466805</v>
      </c>
      <c r="F87" s="27">
        <v>2.1667684542466805</v>
      </c>
    </row>
    <row r="88" spans="1:6">
      <c r="A88" s="28">
        <v>45479</v>
      </c>
      <c r="B88" s="27"/>
      <c r="C88" s="27"/>
      <c r="D88" s="27"/>
      <c r="E88" s="27">
        <v>0.40376020364396237</v>
      </c>
      <c r="F88" s="27">
        <v>0.40376020364396237</v>
      </c>
    </row>
    <row r="89" spans="1:6">
      <c r="A89" s="28">
        <v>45480</v>
      </c>
      <c r="B89" s="27"/>
      <c r="C89" s="27"/>
      <c r="D89" s="27"/>
      <c r="E89" s="27">
        <v>1.2837118161608889</v>
      </c>
      <c r="F89" s="27">
        <v>1.2837118161608889</v>
      </c>
    </row>
    <row r="90" spans="1:6">
      <c r="A90" s="28">
        <v>45481</v>
      </c>
      <c r="B90" s="27"/>
      <c r="C90" s="27"/>
      <c r="D90" s="27"/>
      <c r="E90" s="27">
        <v>4.560571323161251</v>
      </c>
      <c r="F90" s="27">
        <v>4.560571323161251</v>
      </c>
    </row>
    <row r="91" spans="1:6">
      <c r="A91" s="28">
        <v>45482</v>
      </c>
      <c r="B91" s="27"/>
      <c r="C91" s="27"/>
      <c r="D91" s="27"/>
      <c r="E91" s="27">
        <v>0.69116906697908775</v>
      </c>
      <c r="F91" s="27">
        <v>0.69116906697908775</v>
      </c>
    </row>
    <row r="92" spans="1:6">
      <c r="A92" s="28">
        <v>45483</v>
      </c>
      <c r="B92" s="27"/>
      <c r="C92" s="27"/>
      <c r="D92" s="27"/>
      <c r="E92" s="27">
        <v>1.4324454111465779</v>
      </c>
      <c r="F92" s="27">
        <v>1.4324454111465779</v>
      </c>
    </row>
    <row r="93" spans="1:6">
      <c r="A93" s="28">
        <v>45484</v>
      </c>
      <c r="B93" s="27"/>
      <c r="C93" s="27"/>
      <c r="D93" s="27"/>
      <c r="E93" s="27">
        <v>0.84098327377711035</v>
      </c>
      <c r="F93" s="27">
        <v>0.84098327377711035</v>
      </c>
    </row>
    <row r="94" spans="1:6">
      <c r="A94" t="s">
        <v>572</v>
      </c>
      <c r="B94" s="27">
        <v>62.742360790699848</v>
      </c>
      <c r="C94" s="27">
        <v>52.703957466757096</v>
      </c>
      <c r="D94" s="27">
        <v>74.906061767286744</v>
      </c>
      <c r="E94" s="27">
        <v>60.067581792253492</v>
      </c>
      <c r="F94" s="27">
        <v>250.4199618169971</v>
      </c>
    </row>
  </sheetData>
  <mergeCells count="1">
    <mergeCell ref="A2:F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2025-10-16T08:16:40Z</dcterms:created>
  <dcterms:modified xsi:type="dcterms:W3CDTF">2025-11-25T09:04:19Z</dcterms:modified>
  <cp:category/>
  <cp:contentStatus/>
</cp:coreProperties>
</file>